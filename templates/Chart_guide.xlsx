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5.xml" ContentType="application/vnd.openxmlformats-officedocument.drawingml.chart+xml"/>
  <Override PartName="/xl/drawings/drawing1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drawings/drawing15.xml" ContentType="application/vnd.openxmlformats-officedocument.drawingml.chartshapes+xml"/>
  <Override PartName="/xl/drawings/drawing16.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2.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3.xml" ContentType="application/vnd.openxmlformats-officedocument.drawingml.chartshapes+xml"/>
  <Override PartName="/xl/drawings/drawing24.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C:\Users\NAiri\AppData\Local\Temp\24\CitrixClient\"/>
    </mc:Choice>
  </mc:AlternateContent>
  <xr:revisionPtr revIDLastSave="0" documentId="8_{E21854F6-F326-42CC-B243-991E5D735464}" xr6:coauthVersionLast="47" xr6:coauthVersionMax="47" xr10:uidLastSave="{00000000-0000-0000-0000-000000000000}"/>
  <bookViews>
    <workbookView xWindow="-120" yWindow="-120" windowWidth="22290" windowHeight="12120" tabRatio="913" xr2:uid="{00000000-000D-0000-FFFF-FFFF00000000}"/>
  </bookViews>
  <sheets>
    <sheet name="Notes" sheetId="21" r:id="rId1"/>
    <sheet name="Fonts" sheetId="17" r:id="rId2"/>
    <sheet name="Map with scale" sheetId="20" r:id="rId3"/>
    <sheet name="Map" sheetId="19" r:id="rId4"/>
    <sheet name="Table" sheetId="18" r:id="rId5"/>
    <sheet name="Column" sheetId="15" r:id="rId6"/>
    <sheet name="Column Distribution" sheetId="3" r:id="rId7"/>
    <sheet name="Bar horizontal" sheetId="2" r:id="rId8"/>
    <sheet name="Area" sheetId="13" r:id="rId9"/>
    <sheet name="Area and Line" sheetId="5" r:id="rId10"/>
    <sheet name="Area 100%" sheetId="4" r:id="rId11"/>
    <sheet name="Column Stacked" sheetId="11" r:id="rId12"/>
    <sheet name="Line" sheetId="9" r:id="rId13"/>
    <sheet name="Line with markers" sheetId="14" r:id="rId14"/>
  </sheets>
  <definedNames>
    <definedName name="AdultCost" localSheetId="2">#REF!</definedName>
    <definedName name="AdultCost">#REF!</definedName>
    <definedName name="AdultTickets" localSheetId="2">SUM(#REF!)</definedName>
    <definedName name="AdultTickets">SUM(#REF!)</definedName>
    <definedName name="ChildCost" localSheetId="2">#REF!</definedName>
    <definedName name="ChildCost">#REF!</definedName>
    <definedName name="ChildTickets" localSheetId="2">SUM(#REF!)</definedName>
    <definedName name="ChildTickets">SUM(#REF!)</definedName>
    <definedName name="column_headings" localSheetId="2">#REF!</definedName>
    <definedName name="column_headings">#REF!</definedName>
    <definedName name="column_numbers" localSheetId="2">#REF!</definedName>
    <definedName name="column_numbers">#REF!</definedName>
    <definedName name="data" localSheetId="2">#REF!</definedName>
    <definedName name="data">#REF!</definedName>
    <definedName name="DiscountCost" localSheetId="2">#REF!</definedName>
    <definedName name="DiscountCost">#REF!</definedName>
    <definedName name="DiscountTickets" localSheetId="2">SUM(#REF!)</definedName>
    <definedName name="DiscountTickets">SUM(#REF!)</definedName>
    <definedName name="footnotes" localSheetId="2">#REF!</definedName>
    <definedName name="footnotes">#REF!</definedName>
    <definedName name="_xlnm.Print_Area" localSheetId="11">'Column Stacked'!$A$1:$BX$25</definedName>
    <definedName name="Print_Area_MI" localSheetId="2">#REF!</definedName>
    <definedName name="Print_Area_MI">#REF!</definedName>
    <definedName name="_xlnm.Print_Titles" localSheetId="11">'Column Stacked'!$A:$A</definedName>
    <definedName name="Print_Titles_MI" localSheetId="2">#REF!</definedName>
    <definedName name="Print_Titles_MI">#REF!</definedName>
    <definedName name="RSVPAmount" localSheetId="2">#REF!</definedName>
    <definedName name="RSVPAmount">#REF!</definedName>
    <definedName name="spanners_level1" localSheetId="2">#REF!</definedName>
    <definedName name="spanners_level1">#REF!</definedName>
    <definedName name="spanners_level2" localSheetId="2">#REF!</definedName>
    <definedName name="spanners_level2">#REF!</definedName>
    <definedName name="spanners_level3" localSheetId="2">#REF!</definedName>
    <definedName name="spanners_level3">#REF!</definedName>
    <definedName name="spanners_level4" localSheetId="2">#REF!</definedName>
    <definedName name="spanners_level4">#REF!</definedName>
    <definedName name="spanners_level5" localSheetId="2">#REF!</definedName>
    <definedName name="spanners_level5">#REF!</definedName>
    <definedName name="stub_lines" localSheetId="2">#REF!</definedName>
    <definedName name="stub_lines">#REF!</definedName>
    <definedName name="titles" localSheetId="2">#REF!</definedName>
    <definedName name="titles">#REF!</definedName>
    <definedName name="TotalGuests" localSheetId="2">#REF!</definedName>
    <definedName name="TotalGuests">#REF!</definedName>
    <definedName name="totals" localSheetId="2">#REF!,#REF!,#REF!,#REF!,#REF!,#REF!,#REF!</definedName>
    <definedName name="totals">#REF!,#REF!,#REF!,#REF!,#REF!,#REF!,#REF!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8" l="1"/>
  <c r="E10" i="18"/>
  <c r="E9" i="18"/>
  <c r="E8" i="18"/>
  <c r="E7" i="18"/>
  <c r="E6" i="18"/>
  <c r="AO20" i="3" l="1"/>
  <c r="AO19" i="3"/>
  <c r="AO18" i="3"/>
  <c r="AO17" i="3"/>
  <c r="AO16" i="3"/>
  <c r="AO13" i="3"/>
  <c r="AO12" i="3"/>
  <c r="AO11" i="3"/>
  <c r="AO10" i="3"/>
  <c r="AO9" i="3"/>
  <c r="AO8" i="3"/>
  <c r="AL20" i="3"/>
  <c r="AL19" i="3"/>
  <c r="AL18" i="3"/>
  <c r="AL17" i="3"/>
  <c r="AL16" i="3"/>
  <c r="AL13" i="3"/>
  <c r="AL12" i="3"/>
  <c r="AL11" i="3"/>
  <c r="AL10" i="3"/>
  <c r="AL9" i="3"/>
  <c r="AL8" i="3"/>
  <c r="AI20" i="3"/>
  <c r="AI19" i="3"/>
  <c r="AI18" i="3"/>
  <c r="AI17" i="3"/>
  <c r="AI16" i="3"/>
  <c r="AI13" i="3"/>
  <c r="AI12" i="3"/>
  <c r="AI11" i="3"/>
  <c r="AI10" i="3"/>
  <c r="AI9" i="3"/>
  <c r="AI8" i="3"/>
  <c r="AF20" i="3"/>
  <c r="AF19" i="3"/>
  <c r="AF18" i="3"/>
  <c r="AF17" i="3"/>
  <c r="AF16" i="3"/>
  <c r="AF13" i="3"/>
  <c r="AF12" i="3"/>
  <c r="AF11" i="3"/>
  <c r="AF10" i="3"/>
  <c r="AF9" i="3"/>
  <c r="AF8" i="3"/>
  <c r="AC20" i="3"/>
  <c r="AC19" i="3"/>
  <c r="AC18" i="3"/>
  <c r="AC17" i="3"/>
  <c r="AC16" i="3"/>
  <c r="AC13" i="3"/>
  <c r="AC12" i="3"/>
  <c r="AC11" i="3"/>
  <c r="AC10" i="3"/>
  <c r="AC9" i="3"/>
  <c r="AC8" i="3"/>
  <c r="Z9" i="3"/>
  <c r="Z10" i="3"/>
  <c r="Z11" i="3"/>
  <c r="Z12" i="3"/>
  <c r="Z13" i="3"/>
  <c r="Z16" i="3"/>
  <c r="Z17" i="3"/>
  <c r="Z18" i="3"/>
  <c r="Z19" i="3"/>
  <c r="Z20" i="3"/>
  <c r="Z8" i="3"/>
  <c r="D40" i="15"/>
  <c r="D39" i="15"/>
  <c r="D38" i="15"/>
  <c r="D37" i="15"/>
  <c r="D36" i="15"/>
  <c r="D35" i="15"/>
  <c r="D28" i="15"/>
  <c r="D27" i="15"/>
  <c r="D26" i="15"/>
  <c r="D25" i="15"/>
  <c r="D24" i="15"/>
  <c r="D23" i="15"/>
  <c r="D22" i="15"/>
  <c r="D21" i="15"/>
  <c r="D20" i="15"/>
  <c r="D19" i="15"/>
  <c r="D18" i="15"/>
  <c r="D14" i="15"/>
  <c r="D13" i="15"/>
  <c r="D12" i="15"/>
  <c r="D10" i="15"/>
  <c r="D9" i="15"/>
  <c r="D8" i="15"/>
  <c r="D7" i="15"/>
  <c r="D6" i="15"/>
  <c r="D5" i="15"/>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alcChain>
</file>

<file path=xl/sharedStrings.xml><?xml version="1.0" encoding="utf-8"?>
<sst xmlns="http://schemas.openxmlformats.org/spreadsheetml/2006/main" count="359" uniqueCount="251">
  <si>
    <t>Tax Revenue, 2008</t>
  </si>
  <si>
    <t>Percent of GDP</t>
  </si>
  <si>
    <t>Total Tax Revenue</t>
  </si>
  <si>
    <t>Denmark</t>
  </si>
  <si>
    <t>Sweden</t>
  </si>
  <si>
    <t>Belgium</t>
  </si>
  <si>
    <t>Italy</t>
  </si>
  <si>
    <t>France</t>
  </si>
  <si>
    <t>Finland</t>
  </si>
  <si>
    <t>Austria</t>
  </si>
  <si>
    <t>Norway</t>
  </si>
  <si>
    <t>Hungary</t>
  </si>
  <si>
    <t>Netherlands</t>
  </si>
  <si>
    <t>Slovenia</t>
  </si>
  <si>
    <t>Germany</t>
  </si>
  <si>
    <t>Iceland</t>
  </si>
  <si>
    <t>Czech Republic</t>
  </si>
  <si>
    <t>United Kingdom</t>
  </si>
  <si>
    <t>Luxembourg</t>
  </si>
  <si>
    <t>Portugal</t>
  </si>
  <si>
    <t>OECD-Total</t>
  </si>
  <si>
    <t>Poland</t>
  </si>
  <si>
    <t>Israel </t>
  </si>
  <si>
    <t>New Zealand</t>
  </si>
  <si>
    <t>Spain</t>
  </si>
  <si>
    <t>Greece</t>
  </si>
  <si>
    <t>Canada</t>
  </si>
  <si>
    <t>Slovak Republic</t>
  </si>
  <si>
    <t>Switzerland</t>
  </si>
  <si>
    <t>Ireland</t>
  </si>
  <si>
    <t>Japan</t>
  </si>
  <si>
    <t>Australia</t>
  </si>
  <si>
    <t>Korea</t>
  </si>
  <si>
    <t>United States</t>
  </si>
  <si>
    <t>Turkey</t>
  </si>
  <si>
    <t>Chile</t>
  </si>
  <si>
    <t>Mexico</t>
  </si>
  <si>
    <t>Original Data Source:</t>
  </si>
  <si>
    <t>http://browse.oecdbookshop.org/oecd/pdfs/browseit/0109061E.PDF</t>
  </si>
  <si>
    <t>TPC Tax Facts site:</t>
  </si>
  <si>
    <t>http://www.taxpolicycenter.org/taxfacts/displayafact.cfm?Docid=307&amp;Topic2id=95</t>
  </si>
  <si>
    <t>Combined Effect of the 2001-2006 Tax Cuts</t>
  </si>
  <si>
    <t>Distribution of Federal Tax Change by Cash Income Percentile, 2010</t>
  </si>
  <si>
    <t>Cash Income Percentile</t>
  </si>
  <si>
    <t>Percent Change in After-Tax Income</t>
  </si>
  <si>
    <t>Share of Total Federal Tax Change</t>
  </si>
  <si>
    <t>Average Federal Tax Change</t>
  </si>
  <si>
    <t>Share of Federal Taxes</t>
  </si>
  <si>
    <t>Dollars</t>
  </si>
  <si>
    <t>Percent</t>
  </si>
  <si>
    <t>Change (% Points)</t>
  </si>
  <si>
    <t>Under the Proposal</t>
  </si>
  <si>
    <t>All</t>
  </si>
  <si>
    <t>Addendum</t>
  </si>
  <si>
    <t>Federal Revenues by Source, 1950-2010</t>
  </si>
  <si>
    <t>Fiscal Year</t>
  </si>
  <si>
    <t>Other</t>
  </si>
  <si>
    <t>Source: 1950-2006:Budget of the United States Government, Fiscal Year 2008, HISTORICAL TABLES, Table 2.1 Receipts by Source: 1934-2012, available at http://www.whitehouse.gov/omb/budget/fy2008/sheets/hist02z3.xls; 2007-2008: Congressional Budget Office, A Preliminary Analysis of the President's Budget and an Update of CBO's Budget and Economic Outlook, March 2009, Table F-3, available at http://www.cbo.gov/ftpdocs/100xx/doc10014/HistoricalMar09.pdf</t>
  </si>
  <si>
    <t>Revenues and Spending Excluding Interest, by Category, as a Percentage of Gross Domestic Product Under CBO's Long-Term Budget Scenarios</t>
    <phoneticPr fontId="0" type="noConversion"/>
  </si>
  <si>
    <t>(Percent)</t>
  </si>
  <si>
    <t>Note:  2007-2082 are projections</t>
  </si>
  <si>
    <t>Alternative Fiscal Scenario --------------------------------------------------------------</t>
  </si>
  <si>
    <t xml:space="preserve">All </t>
  </si>
  <si>
    <t>Calendar</t>
  </si>
  <si>
    <t>Social</t>
  </si>
  <si>
    <t>Medicare</t>
  </si>
  <si>
    <t>Noninterest</t>
  </si>
  <si>
    <t>Year</t>
  </si>
  <si>
    <t>Security</t>
  </si>
  <si>
    <t>and Medicaid</t>
  </si>
  <si>
    <t>Spending</t>
  </si>
  <si>
    <t>Revenues</t>
  </si>
  <si>
    <t>Social Security</t>
  </si>
  <si>
    <t>Medicare/Medicaid</t>
  </si>
  <si>
    <t>Other Spending</t>
  </si>
  <si>
    <t>Total Spending</t>
  </si>
  <si>
    <t>chart-year</t>
  </si>
  <si>
    <t>'62</t>
  </si>
  <si>
    <t>Source: CBO, The Long-Term Budget Outlook, December 2007, Figure 1-1, p. 3.  http://www.cbo.gov/doc.cfm?index=8877&amp;type=2</t>
  </si>
  <si>
    <t>Total</t>
  </si>
  <si>
    <t>1998</t>
  </si>
  <si>
    <t>1999</t>
  </si>
  <si>
    <t>2000</t>
  </si>
  <si>
    <t>2001</t>
  </si>
  <si>
    <t>2002</t>
  </si>
  <si>
    <t>2003</t>
  </si>
  <si>
    <t>2004</t>
  </si>
  <si>
    <t>2005</t>
  </si>
  <si>
    <t>2006</t>
  </si>
  <si>
    <t>2007</t>
  </si>
  <si>
    <t>2009</t>
  </si>
  <si>
    <t>2010</t>
  </si>
  <si>
    <t>Retirement</t>
  </si>
  <si>
    <t>$500,000 under $1,000,000</t>
  </si>
  <si>
    <t>$5,000,000 under $10,000,000</t>
  </si>
  <si>
    <t>$10,000,000 or more</t>
  </si>
  <si>
    <t>$1 under $25,000</t>
  </si>
  <si>
    <t>$25,000 under $50,000</t>
  </si>
  <si>
    <t>$50,000 under $100,000</t>
  </si>
  <si>
    <t>$100,000 under $500,000</t>
  </si>
  <si>
    <t>$1,000,000 under $5,000,000</t>
  </si>
  <si>
    <t>2008</t>
  </si>
  <si>
    <t>2011</t>
  </si>
  <si>
    <t>2012</t>
  </si>
  <si>
    <t>2013</t>
  </si>
  <si>
    <t>2014</t>
  </si>
  <si>
    <t>008bb0</t>
  </si>
  <si>
    <t>Figure 2: Growth of Refundable Credits Over Time</t>
  </si>
  <si>
    <t>Billions of 2006$</t>
  </si>
  <si>
    <t>Refundable Element of EITC</t>
  </si>
  <si>
    <t>Non-Refundable Element of EITC</t>
  </si>
  <si>
    <t>Refundable Element of CTC</t>
  </si>
  <si>
    <t>Non-Refundable Element of CTC</t>
  </si>
  <si>
    <t>Source: Internal Revenue Service, Statistics of Income Division.</t>
  </si>
  <si>
    <t>$97,500 and above</t>
  </si>
  <si>
    <t>$1,453,100 and above</t>
  </si>
  <si>
    <t>81-90</t>
  </si>
  <si>
    <t>91-95</t>
  </si>
  <si>
    <t>96-99</t>
  </si>
  <si>
    <t>$200,000+</t>
  </si>
  <si>
    <t>$200,000 and above</t>
  </si>
  <si>
    <t>Income</t>
  </si>
  <si>
    <t>Tax Rate</t>
  </si>
  <si>
    <t>TYPEFACE</t>
  </si>
  <si>
    <t>SIZE (WEB)</t>
  </si>
  <si>
    <t>SIZE (PRINT)</t>
  </si>
  <si>
    <t>CASE</t>
  </si>
  <si>
    <t>COLOR</t>
  </si>
  <si>
    <t>NOTES</t>
  </si>
  <si>
    <t>Title</t>
  </si>
  <si>
    <t>Title Case</t>
  </si>
  <si>
    <t>#000000 or rgb(0,0,0)</t>
  </si>
  <si>
    <t>The main point of the chart. Try to keep shorter than two lines and avoid qualifiers.</t>
  </si>
  <si>
    <t>Subtitle</t>
  </si>
  <si>
    <t>Sentence case</t>
  </si>
  <si>
    <t>Use this to add qualifiers or further clarification on the title.</t>
  </si>
  <si>
    <t>X and Y axis titles</t>
  </si>
  <si>
    <t>Always horizontal, above the top axis label Include units or multipliers in parenthesis (millions), ($2014)</t>
  </si>
  <si>
    <t>X and Y axis labels</t>
  </si>
  <si>
    <t>Always horizontal, avoid units or multipliers. Those should be added to the axis title in parenthesis</t>
  </si>
  <si>
    <t>Key labels</t>
  </si>
  <si>
    <t>Always horizontal. Avoid redundant key labels if possible.</t>
  </si>
  <si>
    <t>Direct labels</t>
  </si>
  <si>
    <t>Use for line or column charts with three or fewer series.</t>
  </si>
  <si>
    <t>Data point label</t>
  </si>
  <si>
    <t>Always horizontal. No units or multipliers. Only directly label columns if there are fewer than 10 total columns in the chart.</t>
  </si>
  <si>
    <t>Source and Notes</t>
  </si>
  <si>
    <t>$0–$24,600</t>
  </si>
  <si>
    <t>$24,600–$45,300</t>
  </si>
  <si>
    <t>$45,300–$66,400</t>
  </si>
  <si>
    <t>$66,400–$97,500</t>
  </si>
  <si>
    <t>$0–5,000</t>
  </si>
  <si>
    <t>$5,000–$10,000</t>
  </si>
  <si>
    <t>$10,000–$15,000</t>
  </si>
  <si>
    <t>$15,000–$20,000</t>
  </si>
  <si>
    <t>$20,000–$30,000</t>
  </si>
  <si>
    <t>$30,000–$40,000</t>
  </si>
  <si>
    <t>$40,000–$50,000</t>
  </si>
  <si>
    <t>$50,000–$75,000</t>
  </si>
  <si>
    <t>$75,000–$100,000</t>
  </si>
  <si>
    <t>$100,000–$200,000</t>
  </si>
  <si>
    <t>Lowest quintile</t>
  </si>
  <si>
    <t>Second quintile</t>
  </si>
  <si>
    <t>Middle quintile</t>
  </si>
  <si>
    <t>Fourth quintile</t>
  </si>
  <si>
    <t>Top quintile</t>
  </si>
  <si>
    <t>Top 10 percent</t>
  </si>
  <si>
    <t>Top 5 percent</t>
  </si>
  <si>
    <t>Top 1 percent</t>
  </si>
  <si>
    <t>Top 0.5 percent</t>
  </si>
  <si>
    <t>Top 0.1 percent</t>
  </si>
  <si>
    <t>Individual income taxes</t>
  </si>
  <si>
    <t>Corporation income taxes</t>
  </si>
  <si>
    <t>Payroll taxes</t>
  </si>
  <si>
    <t>Excise taxes</t>
  </si>
  <si>
    <t>Source</t>
  </si>
  <si>
    <t>OASI</t>
  </si>
  <si>
    <t>DI</t>
  </si>
  <si>
    <t>Net payroll tax contributions</t>
  </si>
  <si>
    <t>Income 
from taxation of benefits</t>
  </si>
  <si>
    <t>Reimbursements from the general fund of the Treasury</t>
  </si>
  <si>
    <t>Net 
interest </t>
  </si>
  <si>
    <t>Total income</t>
  </si>
  <si>
    <t>Assets at end of the year</t>
  </si>
  <si>
    <t>Left-most column header</t>
  </si>
  <si>
    <t>PART</t>
  </si>
  <si>
    <t>FONT COLOR</t>
  </si>
  <si>
    <t>BACKGROUND COLOR</t>
  </si>
  <si>
    <t>ALIGNMENT</t>
  </si>
  <si>
    <t>#FFFFFF or rgb (255, 255, 255)</t>
  </si>
  <si>
    <t>Subsequent column headers</t>
  </si>
  <si>
    <t>Center</t>
  </si>
  <si>
    <t>Left, indent 1 pt</t>
  </si>
  <si>
    <t>Left-most body rows</t>
  </si>
  <si>
    <t>#008BB0 or rgb (225, 243, 249)</t>
  </si>
  <si>
    <t>#008BB0 or rgb (0, 139, 176)</t>
  </si>
  <si>
    <t>Subsequent body rows</t>
  </si>
  <si>
    <t>1 pt white line separates all body rows</t>
  </si>
  <si>
    <t>Right, indent until centered</t>
  </si>
  <si>
    <t>CELL HEIGHT</t>
  </si>
  <si>
    <t>N/A</t>
  </si>
  <si>
    <t>30 px</t>
  </si>
  <si>
    <t>25 px</t>
  </si>
  <si>
    <t>Both</t>
  </si>
  <si>
    <t>Neither</t>
  </si>
  <si>
    <t xml:space="preserve">                              0%          10%         15%         20%          </t>
  </si>
  <si>
    <t>Rate:</t>
  </si>
  <si>
    <t>Appropriation limit</t>
  </si>
  <si>
    <t>Revenue limit</t>
  </si>
  <si>
    <t>Change (% points)</t>
  </si>
  <si>
    <t>Cash income percentile</t>
  </si>
  <si>
    <t>Percent change in after-tax income</t>
  </si>
  <si>
    <t>Share of total federal tax change</t>
  </si>
  <si>
    <t>Under the proposal</t>
  </si>
  <si>
    <t>Salaries and wages</t>
  </si>
  <si>
    <t>Interest and dividends</t>
  </si>
  <si>
    <t>Business income</t>
  </si>
  <si>
    <t>Capital gains</t>
  </si>
  <si>
    <t>Sentence case*</t>
  </si>
  <si>
    <t xml:space="preserve">*If there are two layers of column heads, the top layer should be in title case, the bottom layer in sentence case. </t>
  </si>
  <si>
    <t>Notes</t>
  </si>
  <si>
    <t>Font specifics for figures and tables</t>
  </si>
  <si>
    <t>Figure:</t>
  </si>
  <si>
    <t>Table:</t>
  </si>
  <si>
    <t>US rate: xx%.</t>
  </si>
  <si>
    <t>Avenir LT Pro 55 Roman</t>
  </si>
  <si>
    <t>Avenir Lt Pro 55 Roman</t>
  </si>
  <si>
    <r>
      <rPr>
        <b/>
        <sz val="12"/>
        <color theme="1"/>
        <rFont val="Avenir TPC"/>
        <family val="2"/>
      </rPr>
      <t xml:space="preserve">Sources and notes: </t>
    </r>
    <r>
      <rPr>
        <sz val="12"/>
        <color theme="1"/>
        <rFont val="Avenir TPC"/>
        <family val="2"/>
      </rPr>
      <t>These should always end in a period. The optimal way to source something is to provide the author's name and the year (e.g., Len Burman, 2004.) and give a more complete citation in the reference portion of the paper. If there are multiple sources, separate them with a semicolon.</t>
    </r>
  </si>
  <si>
    <r>
      <rPr>
        <b/>
        <sz val="12"/>
        <color theme="1"/>
        <rFont val="Avenir TPC"/>
        <family val="2"/>
      </rPr>
      <t xml:space="preserve">Logo: </t>
    </r>
    <r>
      <rPr>
        <sz val="12"/>
        <color theme="1"/>
        <rFont val="Avenir TPC"/>
        <family val="2"/>
      </rPr>
      <t xml:space="preserve">Logo should always be .63" by .74". Copy the logo to the right if you have any questions. </t>
    </r>
  </si>
  <si>
    <r>
      <rPr>
        <b/>
        <sz val="12"/>
        <color theme="1"/>
        <rFont val="Avenir TPC"/>
        <family val="2"/>
      </rPr>
      <t>Footnotes:</t>
    </r>
    <r>
      <rPr>
        <sz val="12"/>
        <color theme="1"/>
        <rFont val="Avenir TPC"/>
        <family val="2"/>
      </rPr>
      <t xml:space="preserve"> Denote footnotes with a superscript letter such as </t>
    </r>
    <r>
      <rPr>
        <vertAlign val="superscript"/>
        <sz val="12"/>
        <color theme="1"/>
        <rFont val="Avenir TPC"/>
        <family val="2"/>
      </rPr>
      <t xml:space="preserve">a </t>
    </r>
    <r>
      <rPr>
        <sz val="12"/>
        <color theme="1"/>
        <rFont val="Avenir TPC"/>
        <family val="2"/>
      </rPr>
      <t>then assign it meaning by putting (a) underneath the source and note infromation. See the worksheet titled "Table" for an example.</t>
    </r>
  </si>
  <si>
    <r>
      <rPr>
        <b/>
        <sz val="12"/>
        <color theme="1"/>
        <rFont val="Avenir TPC"/>
        <family val="2"/>
      </rPr>
      <t xml:space="preserve">Pie charts: </t>
    </r>
    <r>
      <rPr>
        <sz val="12"/>
        <color theme="1"/>
        <rFont val="Avenir TPC"/>
        <family val="2"/>
      </rPr>
      <t>We all instinctively make pie charts when we want to show the the composition of the total but studies show that pie charts are not easy for the human eye to digest (see the TPC dataviz style guide for more information). Please restrain the use of pie charts to the following two scenarios: 1) when there are only two or three parts; and 2) when doing a part-to-whole comparison. If you do use pie charts, make all the slices the same color unless 1) the color actually denotes something; or 2) when doing a part-to-whole comparison and you want to highlight one element of the chart.</t>
    </r>
  </si>
  <si>
    <r>
      <rPr>
        <b/>
        <sz val="12"/>
        <color theme="1"/>
        <rFont val="Avenir TPC"/>
        <family val="2"/>
      </rPr>
      <t xml:space="preserve">Writing out dates: </t>
    </r>
    <r>
      <rPr>
        <sz val="12"/>
        <color theme="1"/>
        <rFont val="Avenir TPC"/>
        <family val="2"/>
      </rPr>
      <t>Use en-dashes when separating two numbers. If you are writing a year range that spans two millenia, write both years in full. If the years are in the same millenium, write the prefix once. For example, 1950–20015 versus 2005–15.</t>
    </r>
  </si>
  <si>
    <r>
      <rPr>
        <b/>
        <sz val="12"/>
        <color theme="1"/>
        <rFont val="Avenir TPC"/>
        <family val="2"/>
      </rPr>
      <t>Style manual:</t>
    </r>
    <r>
      <rPr>
        <sz val="12"/>
        <color theme="1"/>
        <rFont val="Avenir TPC"/>
        <family val="2"/>
      </rPr>
      <t xml:space="preserve"> If you have any grammatical concerns, default to Chicago style. That means doing "US" rather than "U.S." when abbreviating United States. Please refrain from using ampersands (&amp;) as well.</t>
    </r>
  </si>
  <si>
    <r>
      <rPr>
        <b/>
        <sz val="12"/>
        <color theme="1"/>
        <rFont val="Avenir TPC"/>
        <family val="2"/>
      </rPr>
      <t>Colors:</t>
    </r>
    <r>
      <rPr>
        <sz val="12"/>
        <color theme="1"/>
        <rFont val="Avenir TPC"/>
        <family val="2"/>
      </rPr>
      <t xml:space="preserve"> This file comes pre-populated with TPC colors. There is a categorical set (reds, yellows, blues) and a sequential set (all shades of blue). Please use the correct version based on the chart's meaning (reference the TPC Style Guide (https://apps.urban.org/tpc-styleguide/public.html) if you have questions). If changing colors would not signify anything, just use one color. For example, pie chart slices do not and should not be in separate colors unless you are showing a part-to-whole comparison.</t>
    </r>
  </si>
  <si>
    <t>Before starting:</t>
  </si>
  <si>
    <t>Download and install the TPC Graphing Extension</t>
  </si>
  <si>
    <t>Download and install the "Avenir TPC" font</t>
  </si>
  <si>
    <r>
      <rPr>
        <b/>
        <sz val="12"/>
        <color theme="1"/>
        <rFont val="Avenir TPC"/>
        <family val="2"/>
      </rPr>
      <t>Capitalization:</t>
    </r>
    <r>
      <rPr>
        <sz val="12"/>
        <color theme="1"/>
        <rFont val="Avenir TPC"/>
        <family val="2"/>
      </rPr>
      <t xml:space="preserve"> Titles should be in title case but everything else should be in sentence case.</t>
    </r>
  </si>
  <si>
    <r>
      <t>Bold the words “</t>
    </r>
    <r>
      <rPr>
        <b/>
        <sz val="10"/>
        <color rgb="FF333333"/>
        <rFont val="Avenir TPC"/>
        <family val="2"/>
      </rPr>
      <t>Source</t>
    </r>
    <r>
      <rPr>
        <sz val="10"/>
        <color rgb="FF333333"/>
        <rFont val="Avenir TPC"/>
        <family val="2"/>
      </rPr>
      <t>” and “</t>
    </r>
    <r>
      <rPr>
        <b/>
        <sz val="10"/>
        <color rgb="FF333333"/>
        <rFont val="Avenir TPC"/>
        <family val="2"/>
      </rPr>
      <t>Notes</t>
    </r>
    <r>
      <rPr>
        <sz val="10"/>
        <color rgb="FF333333"/>
        <rFont val="Avenir TPC"/>
        <family val="2"/>
      </rPr>
      <t>” as well as any statistical significance indicators.</t>
    </r>
  </si>
  <si>
    <t>Avenir TPC (Bold)</t>
  </si>
  <si>
    <t>Avenir TPC</t>
  </si>
  <si>
    <t>Avenir TPC (Italic)</t>
  </si>
  <si>
    <r>
      <t xml:space="preserve">Source: </t>
    </r>
    <r>
      <rPr>
        <sz val="9.5"/>
        <color theme="1"/>
        <rFont val="Avenir TPC"/>
        <family val="2"/>
      </rPr>
      <t>Data from U.S. Census Bureau, Annual Survey of State and Local Government Finances, Government Finances, Volume 4, and Census of Governments (2012) downloaded from State &amp; Local Government Finance Data Query System, Tax Policy Center.</t>
    </r>
  </si>
  <si>
    <t/>
  </si>
  <si>
    <r>
      <rPr>
        <b/>
        <sz val="9.5"/>
        <color theme="1"/>
        <rFont val="Avenir Next LT Pro"/>
        <family val="2"/>
      </rPr>
      <t>Source:</t>
    </r>
    <r>
      <rPr>
        <sz val="9.5"/>
        <color theme="1"/>
        <rFont val="Avenir Next LT Pro"/>
        <family val="2"/>
      </rPr>
      <t xml:space="preserve"> Social Security Administration, Annual Statistical Supplement to the Social Security Bulletin, 2014, Tables 4.A1 and 4.A2.
</t>
    </r>
    <r>
      <rPr>
        <b/>
        <sz val="9.5"/>
        <color theme="1"/>
        <rFont val="Avenir Next LT Pro"/>
        <family val="2"/>
      </rPr>
      <t xml:space="preserve">Note: </t>
    </r>
    <r>
      <rPr>
        <sz val="9.5"/>
        <color theme="1"/>
        <rFont val="Avenir Next LT Pro"/>
        <family val="2"/>
      </rPr>
      <t>Note here.
(a) Footnote here.</t>
    </r>
  </si>
  <si>
    <t>Less visually heavy option</t>
  </si>
  <si>
    <t>Colored in option</t>
  </si>
  <si>
    <t>Income from taxation of benefits</t>
  </si>
  <si>
    <t>Net interest </t>
  </si>
  <si>
    <r>
      <rPr>
        <b/>
        <sz val="9.5"/>
        <color theme="1"/>
        <rFont val="Avenir TPC"/>
        <family val="2"/>
      </rPr>
      <t>Source:</t>
    </r>
    <r>
      <rPr>
        <sz val="9.5"/>
        <color theme="1"/>
        <rFont val="Avenir TPC"/>
        <family val="2"/>
      </rPr>
      <t xml:space="preserve"> Social Security Administration, Annual Statistical Supplement to the Social Security Bulletin, 2014, Tables 4.A1 and 4.A2.
</t>
    </r>
    <r>
      <rPr>
        <b/>
        <sz val="9.5"/>
        <color theme="1"/>
        <rFont val="Avenir TPC"/>
        <family val="2"/>
      </rPr>
      <t xml:space="preserve">Note: </t>
    </r>
    <r>
      <rPr>
        <sz val="9.5"/>
        <color theme="1"/>
        <rFont val="Avenir TPC"/>
        <family val="2"/>
      </rPr>
      <t>Note here.
(a) Footnote here.</t>
    </r>
  </si>
  <si>
    <r>
      <rPr>
        <b/>
        <sz val="10"/>
        <rFont val="Avenir TPC"/>
        <family val="2"/>
      </rPr>
      <t>Source:</t>
    </r>
    <r>
      <rPr>
        <sz val="10"/>
        <rFont val="Avenir TPC"/>
        <family val="2"/>
      </rPr>
      <t xml:space="preserve"> Urban-Brookings Tax Policy Center Microsimulation Model (version 1006-1).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</si>
</sst>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44" formatCode="_(&quot;$&quot;* #,##0.00_);_(&quot;$&quot;* \(#,##0.00\);_(&quot;$&quot;* &quot;-&quot;??_);_(@_)"/>
    <numFmt numFmtId="43" formatCode="_(* #,##0.00_);_(* \(#,##0.00\);_(* &quot;-&quot;??_);_(@_)"/>
    <numFmt numFmtId="164" formatCode="0.0"/>
    <numFmt numFmtId="165" formatCode="#,##0.0"/>
    <numFmt numFmtId="166" formatCode="0.0%"/>
    <numFmt numFmtId="167" formatCode=";\(#\);;"/>
    <numFmt numFmtId="168" formatCode="\(#\)"/>
    <numFmt numFmtId="169" formatCode="&quot;   &quot;@"/>
    <numFmt numFmtId="170" formatCode="&quot;* &quot;#,##0;&quot;* &quot;\-#,##0;&quot;*&quot;;&quot;* &quot;@\ "/>
    <numFmt numFmtId="171" formatCode="&quot;** &quot;#,##0;&quot;** &quot;\-#,##0;&quot;**&quot;;&quot;** &quot;@"/>
    <numFmt numFmtId="175" formatCode=";;;"/>
    <numFmt numFmtId="176" formatCode="_(* #,##0_);_(* \(#,##0\);_(* &quot;-&quot;??_);_(@_)"/>
  </numFmts>
  <fonts count="9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Times New Roman"/>
      <family val="1"/>
    </font>
    <font>
      <sz val="10"/>
      <name val="Times New Roman"/>
      <family val="1"/>
    </font>
    <font>
      <sz val="10"/>
      <name val="Verdana"/>
      <family val="2"/>
    </font>
    <font>
      <b/>
      <sz val="10"/>
      <name val="Verdana"/>
      <family val="2"/>
    </font>
    <font>
      <b/>
      <sz val="10"/>
      <color rgb="FFFF0000"/>
      <name val="Times New Roman"/>
      <family val="1"/>
    </font>
    <font>
      <u/>
      <sz val="10"/>
      <color indexed="12"/>
      <name val="Arial"/>
      <family val="2"/>
    </font>
    <font>
      <u/>
      <sz val="10"/>
      <color indexed="12"/>
      <name val="Times New Roman"/>
      <family val="1"/>
    </font>
    <font>
      <sz val="11"/>
      <color theme="1"/>
      <name val="Calibri"/>
      <family val="2"/>
      <scheme val="minor"/>
    </font>
    <font>
      <sz val="12"/>
      <color indexed="8"/>
      <name val="Arial"/>
      <family val="2"/>
    </font>
    <font>
      <b/>
      <sz val="10"/>
      <name val="Arial"/>
      <family val="2"/>
    </font>
    <font>
      <sz val="10"/>
      <name val="MS Sans Serif"/>
      <family val="2"/>
    </font>
    <font>
      <sz val="8"/>
      <name val="MS Sans Serif"/>
      <family val="2"/>
    </font>
    <font>
      <sz val="8"/>
      <name val="Arial"/>
      <family val="2"/>
    </font>
    <font>
      <b/>
      <sz val="8"/>
      <name val="Arial"/>
      <family val="2"/>
    </font>
    <font>
      <b/>
      <sz val="8"/>
      <name val="MS Sans Serif"/>
      <family val="2"/>
    </font>
    <font>
      <sz val="11"/>
      <name val="Arial"/>
      <family val="2"/>
    </font>
    <font>
      <b/>
      <sz val="11"/>
      <name val="Arial"/>
      <family val="2"/>
    </font>
    <font>
      <u/>
      <sz val="11"/>
      <color theme="10"/>
      <name val="Calibri"/>
      <family val="2"/>
      <scheme val="minor"/>
    </font>
    <font>
      <b/>
      <sz val="11"/>
      <color theme="1"/>
      <name val="Arial"/>
      <family val="2"/>
    </font>
    <font>
      <sz val="14"/>
      <color rgb="FFFFFFFF"/>
      <name val="Helvetica Neue"/>
    </font>
    <font>
      <sz val="12"/>
      <name val="Arial"/>
      <family val="2"/>
    </font>
    <font>
      <sz val="10"/>
      <color theme="1"/>
      <name val="Arial"/>
      <family val="2"/>
    </font>
    <font>
      <sz val="8"/>
      <name val="Calibri"/>
      <family val="2"/>
      <scheme val="minor"/>
    </font>
    <font>
      <u/>
      <sz val="12"/>
      <color theme="11"/>
      <name val="Calibri"/>
      <family val="2"/>
      <scheme val="minor"/>
    </font>
    <font>
      <sz val="11"/>
      <color theme="1"/>
      <name val="Avenir LT Std 55 Roman"/>
      <family val="2"/>
    </font>
    <font>
      <sz val="9.5"/>
      <color theme="1"/>
      <name val="Avenir LT Std 55 Roman"/>
      <family val="2"/>
    </font>
    <font>
      <sz val="7"/>
      <color theme="1"/>
      <name val="Arial"/>
      <family val="2"/>
    </font>
    <font>
      <b/>
      <sz val="10"/>
      <color theme="1"/>
      <name val="Arial"/>
      <family val="2"/>
    </font>
    <font>
      <sz val="12"/>
      <color theme="1"/>
      <name val="Times New Roman"/>
      <family val="2"/>
    </font>
    <font>
      <sz val="10"/>
      <color theme="0"/>
      <name val="Arial"/>
      <family val="2"/>
    </font>
    <font>
      <sz val="10"/>
      <color rgb="FF9C0006"/>
      <name val="Arial"/>
      <family val="2"/>
    </font>
    <font>
      <b/>
      <sz val="10"/>
      <color rgb="FFFA7D00"/>
      <name val="Arial"/>
      <family val="2"/>
    </font>
    <font>
      <b/>
      <sz val="12"/>
      <color theme="0"/>
      <name val="Calibri"/>
      <family val="2"/>
      <scheme val="minor"/>
    </font>
    <font>
      <i/>
      <sz val="10"/>
      <color rgb="FF7F7F7F"/>
      <name val="Arial"/>
      <family val="2"/>
    </font>
    <font>
      <sz val="10"/>
      <color rgb="FF006100"/>
      <name val="Arial"/>
      <family val="2"/>
    </font>
    <font>
      <b/>
      <sz val="15"/>
      <color theme="3"/>
      <name val="Arial"/>
      <family val="2"/>
    </font>
    <font>
      <sz val="12"/>
      <color theme="3"/>
      <name val="Cambria"/>
      <family val="1"/>
      <scheme val="major"/>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sz val="10"/>
      <color rgb="FFFF0000"/>
      <name val="Arial"/>
      <family val="2"/>
    </font>
    <font>
      <sz val="12"/>
      <color theme="1"/>
      <name val="Avenir LT Pro 55 Roman"/>
      <family val="2"/>
    </font>
    <font>
      <b/>
      <sz val="12"/>
      <color theme="1"/>
      <name val="Avenir LT Pro 55 Roman"/>
      <family val="2"/>
    </font>
    <font>
      <sz val="12"/>
      <color theme="1"/>
      <name val="Avenir TPC"/>
      <family val="2"/>
    </font>
    <font>
      <b/>
      <sz val="12"/>
      <color theme="1"/>
      <name val="Avenir TPC"/>
      <family val="2"/>
    </font>
    <font>
      <vertAlign val="superscript"/>
      <sz val="12"/>
      <color theme="1"/>
      <name val="Avenir TPC"/>
      <family val="2"/>
    </font>
    <font>
      <u/>
      <sz val="12"/>
      <color indexed="12"/>
      <name val="Avenir TPC"/>
      <family val="2"/>
    </font>
    <font>
      <b/>
      <sz val="16"/>
      <name val="Avenir TPC"/>
      <family val="2"/>
    </font>
    <font>
      <b/>
      <sz val="18"/>
      <color theme="1"/>
      <name val="Avenir TPC"/>
      <family val="2"/>
    </font>
    <font>
      <b/>
      <sz val="12"/>
      <color rgb="FF333333"/>
      <name val="Avenir TPC"/>
      <family val="2"/>
    </font>
    <font>
      <i/>
      <sz val="12"/>
      <color rgb="FF333333"/>
      <name val="Avenir TPC"/>
      <family val="2"/>
    </font>
    <font>
      <sz val="12"/>
      <color rgb="FF333333"/>
      <name val="Avenir TPC"/>
      <family val="2"/>
    </font>
    <font>
      <sz val="11"/>
      <color rgb="FF333333"/>
      <name val="Avenir TPC"/>
      <family val="2"/>
    </font>
    <font>
      <sz val="11"/>
      <color theme="1"/>
      <name val="Avenir TPC"/>
      <family val="2"/>
    </font>
    <font>
      <b/>
      <sz val="11"/>
      <color rgb="FF333333"/>
      <name val="Avenir TPC"/>
      <family val="2"/>
    </font>
    <font>
      <b/>
      <sz val="11"/>
      <color theme="1"/>
      <name val="Avenir TPC"/>
      <family val="2"/>
    </font>
    <font>
      <sz val="10"/>
      <color rgb="FF333333"/>
      <name val="Avenir TPC"/>
      <family val="2"/>
    </font>
    <font>
      <b/>
      <sz val="10"/>
      <color rgb="FF333333"/>
      <name val="Avenir TPC"/>
      <family val="2"/>
    </font>
    <font>
      <sz val="10"/>
      <color theme="1"/>
      <name val="Avenir TPC"/>
      <family val="2"/>
    </font>
    <font>
      <sz val="11"/>
      <name val="Avenir TPC"/>
      <family val="2"/>
    </font>
    <font>
      <b/>
      <sz val="22.5"/>
      <color rgb="FF333333"/>
      <name val="Avenir TPC"/>
      <family val="2"/>
    </font>
    <font>
      <sz val="12"/>
      <color rgb="FFFFFFFF"/>
      <name val="Avenir TPC"/>
      <family val="2"/>
    </font>
    <font>
      <b/>
      <sz val="14"/>
      <color rgb="FF333333"/>
      <name val="Avenir TPC"/>
      <family val="2"/>
    </font>
    <font>
      <sz val="10.5"/>
      <color rgb="FFFFFFFF"/>
      <name val="Avenir TPC"/>
      <family val="2"/>
    </font>
    <font>
      <b/>
      <sz val="10.5"/>
      <color rgb="FF333333"/>
      <name val="Avenir TPC"/>
      <family val="2"/>
    </font>
    <font>
      <sz val="10.5"/>
      <color rgb="FF333333"/>
      <name val="Avenir TPC"/>
      <family val="2"/>
    </font>
    <font>
      <b/>
      <sz val="13.5"/>
      <color rgb="FF333333"/>
      <name val="Avenir TPC"/>
      <family val="2"/>
    </font>
    <font>
      <b/>
      <sz val="20"/>
      <color rgb="FF333333"/>
      <name val="Avenir TPC"/>
      <family val="2"/>
    </font>
    <font>
      <b/>
      <sz val="20"/>
      <color theme="1"/>
      <name val="Avenir TPC"/>
      <family val="2"/>
    </font>
    <font>
      <sz val="16"/>
      <color rgb="FF333333"/>
      <name val="Avenir TPC"/>
      <family val="2"/>
    </font>
    <font>
      <sz val="16"/>
      <color theme="1"/>
      <name val="Avenir TPC"/>
      <family val="2"/>
    </font>
    <font>
      <b/>
      <sz val="11"/>
      <color theme="0"/>
      <name val="Avenir TPC"/>
      <family val="2"/>
    </font>
    <font>
      <b/>
      <sz val="11"/>
      <name val="Avenir TPC"/>
      <family val="2"/>
    </font>
    <font>
      <b/>
      <sz val="9.5"/>
      <color theme="1"/>
      <name val="Avenir Next LT Pro"/>
      <family val="2"/>
    </font>
    <font>
      <sz val="9.5"/>
      <color theme="1"/>
      <name val="Avenir Next LT Pro"/>
      <family val="2"/>
    </font>
    <font>
      <b/>
      <sz val="9.5"/>
      <color theme="1"/>
      <name val="Avenir TPC"/>
      <family val="2"/>
    </font>
    <font>
      <sz val="9.5"/>
      <color theme="1"/>
      <name val="Avenir TPC"/>
      <family val="2"/>
    </font>
    <font>
      <b/>
      <sz val="11"/>
      <color theme="0"/>
      <name val="Avenir Next LT Pro"/>
      <family val="2"/>
    </font>
    <font>
      <b/>
      <sz val="12"/>
      <color theme="0"/>
      <name val="Avenir Next LT Pro"/>
      <family val="2"/>
    </font>
    <font>
      <sz val="11"/>
      <color theme="1"/>
      <name val="Avenir Next LT Pro"/>
      <family val="2"/>
    </font>
    <font>
      <i/>
      <sz val="11"/>
      <color rgb="FFFF00FF"/>
      <name val="Avenir Next LT Pro"/>
      <family val="2"/>
    </font>
    <font>
      <b/>
      <sz val="11"/>
      <name val="Avenir Next LT Pro"/>
      <family val="2"/>
    </font>
    <font>
      <b/>
      <sz val="12"/>
      <name val="Avenir Next LT Pro"/>
      <family val="2"/>
    </font>
    <font>
      <sz val="11"/>
      <name val="Avenir Next LT Pro"/>
      <family val="2"/>
    </font>
    <font>
      <sz val="10"/>
      <color rgb="FFFF00FF"/>
      <name val="Arial"/>
      <family val="2"/>
    </font>
    <font>
      <b/>
      <sz val="12"/>
      <name val="Avenir TPC"/>
      <family val="2"/>
    </font>
    <font>
      <sz val="10"/>
      <name val="Avenir TPC"/>
      <family val="2"/>
    </font>
    <font>
      <b/>
      <sz val="10"/>
      <name val="Avenir TPC"/>
      <family val="2"/>
    </font>
  </fonts>
  <fills count="40">
    <fill>
      <patternFill patternType="none"/>
    </fill>
    <fill>
      <patternFill patternType="gray125"/>
    </fill>
    <fill>
      <patternFill patternType="solid">
        <fgColor rgb="FFFFFFCC"/>
      </patternFill>
    </fill>
    <fill>
      <patternFill patternType="solid">
        <fgColor rgb="FFE1F3F9"/>
        <bgColor indexed="64"/>
      </patternFill>
    </fill>
    <fill>
      <patternFill patternType="solid">
        <fgColor theme="0"/>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28">
    <border>
      <left/>
      <right/>
      <top/>
      <bottom/>
      <diagonal/>
    </border>
    <border>
      <left style="thin">
        <color rgb="FFB2B2B2"/>
      </left>
      <right style="thin">
        <color rgb="FFB2B2B2"/>
      </right>
      <top style="thin">
        <color rgb="FFB2B2B2"/>
      </top>
      <bottom style="thin">
        <color rgb="FFB2B2B2"/>
      </bottom>
      <diagonal/>
    </border>
    <border>
      <left/>
      <right/>
      <top/>
      <bottom style="double">
        <color auto="1"/>
      </bottom>
      <diagonal/>
    </border>
    <border>
      <left/>
      <right/>
      <top style="double">
        <color auto="1"/>
      </top>
      <bottom/>
      <diagonal/>
    </border>
    <border>
      <left/>
      <right/>
      <top/>
      <bottom style="thin">
        <color auto="1"/>
      </bottom>
      <diagonal/>
    </border>
    <border>
      <left/>
      <right/>
      <top style="thin">
        <color auto="1"/>
      </top>
      <bottom/>
      <diagonal/>
    </border>
    <border>
      <left style="thin">
        <color rgb="FF000000"/>
      </left>
      <right/>
      <top style="thin">
        <color rgb="FF000000"/>
      </top>
      <bottom style="thin">
        <color rgb="FF000000"/>
      </bottom>
      <diagonal/>
    </border>
    <border>
      <left style="thin">
        <color theme="1"/>
      </left>
      <right style="thin">
        <color theme="1"/>
      </right>
      <top style="thin">
        <color theme="1"/>
      </top>
      <bottom/>
      <diagonal/>
    </border>
    <border>
      <left style="thin">
        <color rgb="FF000000"/>
      </left>
      <right/>
      <top/>
      <bottom/>
      <diagonal/>
    </border>
    <border>
      <left style="thin">
        <color rgb="FF000000"/>
      </left>
      <right style="thin">
        <color theme="1"/>
      </right>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thin">
        <color theme="4"/>
      </right>
      <top/>
      <bottom/>
      <diagonal/>
    </border>
    <border>
      <left style="thin">
        <color theme="4"/>
      </left>
      <right style="thin">
        <color theme="5"/>
      </right>
      <top/>
      <bottom/>
      <diagonal/>
    </border>
    <border>
      <left style="thin">
        <color theme="5"/>
      </left>
      <right style="thin">
        <color theme="6"/>
      </right>
      <top/>
      <bottom/>
      <diagonal/>
    </border>
    <border>
      <left style="thin">
        <color theme="6"/>
      </left>
      <right style="thin">
        <color theme="7"/>
      </right>
      <top/>
      <bottom/>
      <diagonal/>
    </border>
    <border>
      <left/>
      <right/>
      <top style="thin">
        <color rgb="FF008BB0"/>
      </top>
      <bottom style="thin">
        <color rgb="FF008BB0"/>
      </bottom>
      <diagonal/>
    </border>
    <border>
      <left/>
      <right/>
      <top style="thin">
        <color rgb="FF008BB0"/>
      </top>
      <bottom/>
      <diagonal/>
    </border>
  </borders>
  <cellStyleXfs count="93">
    <xf numFmtId="0" fontId="0" fillId="0" borderId="0"/>
    <xf numFmtId="0" fontId="4" fillId="0" borderId="0"/>
    <xf numFmtId="9" fontId="4" fillId="0" borderId="0" applyFont="0" applyFill="0" applyBorder="0" applyAlignment="0" applyProtection="0"/>
    <xf numFmtId="0" fontId="10" fillId="0" borderId="0" applyNumberFormat="0" applyFill="0" applyBorder="0" applyAlignment="0" applyProtection="0">
      <alignment vertical="top"/>
      <protection locked="0"/>
    </xf>
    <xf numFmtId="0" fontId="6" fillId="0" borderId="0"/>
    <xf numFmtId="0" fontId="4" fillId="0" borderId="0"/>
    <xf numFmtId="0" fontId="12" fillId="0" borderId="0"/>
    <xf numFmtId="0" fontId="15" fillId="0" borderId="0"/>
    <xf numFmtId="0" fontId="4" fillId="0" borderId="0"/>
    <xf numFmtId="0" fontId="12" fillId="2" borderId="1" applyNumberFormat="0" applyFont="0" applyAlignment="0" applyProtection="0"/>
    <xf numFmtId="0" fontId="22" fillId="0" borderId="0" applyNumberForma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 fillId="0" borderId="0"/>
    <xf numFmtId="43" fontId="3" fillId="0" borderId="0" applyFont="0" applyFill="0" applyBorder="0" applyAlignment="0" applyProtection="0"/>
    <xf numFmtId="49" fontId="31" fillId="0" borderId="13">
      <alignment horizontal="right" wrapText="1"/>
    </xf>
    <xf numFmtId="49" fontId="31" fillId="0" borderId="13">
      <alignment horizontal="center" wrapText="1"/>
    </xf>
    <xf numFmtId="3" fontId="31" fillId="0" borderId="0">
      <alignment horizontal="right"/>
    </xf>
    <xf numFmtId="49" fontId="31" fillId="0" borderId="0">
      <alignment horizontal="left" wrapText="1"/>
    </xf>
    <xf numFmtId="49" fontId="31" fillId="0" borderId="14">
      <alignment horizontal="left" wrapText="1"/>
    </xf>
    <xf numFmtId="49" fontId="32" fillId="0" borderId="4">
      <alignment horizontal="left" vertical="center" wrapText="1"/>
    </xf>
    <xf numFmtId="0" fontId="33" fillId="0" borderId="0"/>
    <xf numFmtId="0" fontId="26" fillId="13" borderId="0" applyNumberFormat="0" applyBorder="0" applyAlignment="0" applyProtection="0"/>
    <xf numFmtId="0" fontId="26" fillId="17" borderId="0" applyNumberFormat="0" applyBorder="0" applyAlignment="0" applyProtection="0"/>
    <xf numFmtId="0" fontId="26" fillId="21" borderId="0" applyNumberFormat="0" applyBorder="0" applyAlignment="0" applyProtection="0"/>
    <xf numFmtId="0" fontId="26" fillId="25" borderId="0" applyNumberFormat="0" applyBorder="0" applyAlignment="0" applyProtection="0"/>
    <xf numFmtId="0" fontId="26" fillId="29" borderId="0" applyNumberFormat="0" applyBorder="0" applyAlignment="0" applyProtection="0"/>
    <xf numFmtId="0" fontId="26" fillId="33" borderId="0" applyNumberFormat="0" applyBorder="0" applyAlignment="0" applyProtection="0"/>
    <xf numFmtId="0" fontId="26" fillId="14" borderId="0" applyNumberFormat="0" applyBorder="0" applyAlignment="0" applyProtection="0"/>
    <xf numFmtId="0" fontId="26" fillId="18" borderId="0" applyNumberFormat="0" applyBorder="0" applyAlignment="0" applyProtection="0"/>
    <xf numFmtId="0" fontId="26" fillId="22" borderId="0" applyNumberFormat="0" applyBorder="0" applyAlignment="0" applyProtection="0"/>
    <xf numFmtId="0" fontId="26" fillId="26" borderId="0" applyNumberFormat="0" applyBorder="0" applyAlignment="0" applyProtection="0"/>
    <xf numFmtId="0" fontId="26" fillId="30" borderId="0" applyNumberFormat="0" applyBorder="0" applyAlignment="0" applyProtection="0"/>
    <xf numFmtId="0" fontId="26" fillId="34" borderId="0" applyNumberFormat="0" applyBorder="0" applyAlignment="0" applyProtection="0"/>
    <xf numFmtId="0" fontId="34" fillId="15" borderId="0" applyNumberFormat="0" applyBorder="0" applyAlignment="0" applyProtection="0"/>
    <xf numFmtId="0" fontId="34" fillId="19" borderId="0" applyNumberFormat="0" applyBorder="0" applyAlignment="0" applyProtection="0"/>
    <xf numFmtId="0" fontId="34" fillId="23" borderId="0" applyNumberFormat="0" applyBorder="0" applyAlignment="0" applyProtection="0"/>
    <xf numFmtId="0" fontId="34" fillId="27" borderId="0" applyNumberFormat="0" applyBorder="0" applyAlignment="0" applyProtection="0"/>
    <xf numFmtId="0" fontId="34" fillId="31" borderId="0" applyNumberFormat="0" applyBorder="0" applyAlignment="0" applyProtection="0"/>
    <xf numFmtId="0" fontId="34" fillId="35" borderId="0" applyNumberFormat="0" applyBorder="0" applyAlignment="0" applyProtection="0"/>
    <xf numFmtId="0" fontId="34" fillId="12" borderId="0" applyNumberFormat="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4" borderId="0" applyNumberFormat="0" applyBorder="0" applyAlignment="0" applyProtection="0"/>
    <xf numFmtId="0" fontId="34" fillId="28" borderId="0" applyNumberFormat="0" applyBorder="0" applyAlignment="0" applyProtection="0"/>
    <xf numFmtId="0" fontId="34" fillId="32" borderId="0" applyNumberFormat="0" applyBorder="0" applyAlignment="0" applyProtection="0"/>
    <xf numFmtId="0" fontId="35" fillId="7" borderId="0" applyNumberFormat="0" applyBorder="0" applyAlignment="0" applyProtection="0"/>
    <xf numFmtId="0" fontId="36" fillId="10" borderId="17" applyNumberFormat="0" applyAlignment="0" applyProtection="0"/>
    <xf numFmtId="0" fontId="37" fillId="11" borderId="20" applyNumberFormat="0" applyAlignment="0" applyProtection="0"/>
    <xf numFmtId="0" fontId="38" fillId="0" borderId="0" applyNumberFormat="0" applyFill="0" applyBorder="0" applyAlignment="0" applyProtection="0"/>
    <xf numFmtId="0" fontId="39" fillId="6" borderId="0" applyNumberFormat="0" applyBorder="0" applyAlignment="0" applyProtection="0"/>
    <xf numFmtId="0" fontId="40" fillId="0" borderId="15" applyNumberFormat="0" applyFill="0" applyAlignment="0" applyProtection="0"/>
    <xf numFmtId="0" fontId="41" fillId="0" borderId="0" applyNumberFormat="0" applyFill="0" applyAlignment="0" applyProtection="0"/>
    <xf numFmtId="0" fontId="42" fillId="0" borderId="16" applyNumberFormat="0" applyFill="0" applyAlignment="0" applyProtection="0"/>
    <xf numFmtId="0" fontId="42" fillId="0" borderId="0" applyNumberFormat="0" applyFill="0" applyBorder="0" applyAlignment="0" applyProtection="0"/>
    <xf numFmtId="0" fontId="43" fillId="9" borderId="17" applyNumberFormat="0" applyAlignment="0" applyProtection="0"/>
    <xf numFmtId="0" fontId="44" fillId="0" borderId="19" applyNumberFormat="0" applyFill="0" applyAlignment="0" applyProtection="0"/>
    <xf numFmtId="0" fontId="45" fillId="8" borderId="0" applyNumberFormat="0" applyBorder="0" applyAlignment="0" applyProtection="0"/>
    <xf numFmtId="0" fontId="26" fillId="0" borderId="0"/>
    <xf numFmtId="0" fontId="46" fillId="10" borderId="18" applyNumberFormat="0" applyAlignment="0" applyProtection="0"/>
    <xf numFmtId="0" fontId="32" fillId="0" borderId="21" applyNumberFormat="0" applyFill="0" applyAlignment="0" applyProtection="0"/>
    <xf numFmtId="0" fontId="47" fillId="0" borderId="0" applyNumberFormat="0" applyFill="0" applyBorder="0" applyAlignment="0" applyProtection="0"/>
    <xf numFmtId="0" fontId="2" fillId="0" borderId="0"/>
  </cellStyleXfs>
  <cellXfs count="176">
    <xf numFmtId="0" fontId="0" fillId="0" borderId="0" xfId="0"/>
    <xf numFmtId="0" fontId="5" fillId="0" borderId="0" xfId="1" applyFont="1"/>
    <xf numFmtId="0" fontId="6" fillId="0" borderId="0" xfId="1" applyFont="1"/>
    <xf numFmtId="0" fontId="7" fillId="0" borderId="0" xfId="1" applyFont="1"/>
    <xf numFmtId="0" fontId="6" fillId="0" borderId="0" xfId="1" applyFont="1" applyAlignment="1">
      <alignment horizontal="right"/>
    </xf>
    <xf numFmtId="0" fontId="5" fillId="0" borderId="0" xfId="1" applyFont="1" applyAlignment="1">
      <alignment wrapText="1"/>
    </xf>
    <xf numFmtId="164" fontId="6" fillId="0" borderId="0" xfId="1" applyNumberFormat="1" applyFont="1" applyAlignment="1">
      <alignment horizontal="center"/>
    </xf>
    <xf numFmtId="9" fontId="6" fillId="0" borderId="0" xfId="2" applyFont="1"/>
    <xf numFmtId="0" fontId="8" fillId="0" borderId="0" xfId="1" applyFont="1"/>
    <xf numFmtId="0" fontId="9" fillId="0" borderId="0" xfId="1" applyFont="1"/>
    <xf numFmtId="164" fontId="9" fillId="0" borderId="0" xfId="1" applyNumberFormat="1" applyFont="1" applyAlignment="1">
      <alignment horizontal="center"/>
    </xf>
    <xf numFmtId="164" fontId="6" fillId="0" borderId="0" xfId="1" applyNumberFormat="1" applyFont="1" applyAlignment="1">
      <alignment horizontal="center" vertical="center"/>
    </xf>
    <xf numFmtId="0" fontId="12" fillId="0" borderId="0" xfId="6"/>
    <xf numFmtId="10" fontId="12" fillId="0" borderId="0" xfId="6" applyNumberFormat="1"/>
    <xf numFmtId="0" fontId="4" fillId="0" borderId="0" xfId="1"/>
    <xf numFmtId="0" fontId="4" fillId="0" borderId="0" xfId="1" applyAlignment="1">
      <alignment horizontal="center"/>
    </xf>
    <xf numFmtId="1" fontId="4" fillId="0" borderId="0" xfId="1" quotePrefix="1" applyNumberFormat="1" applyAlignment="1">
      <alignment horizontal="center"/>
    </xf>
    <xf numFmtId="1" fontId="4" fillId="0" borderId="0" xfId="1" applyNumberFormat="1"/>
    <xf numFmtId="1" fontId="4" fillId="0" borderId="0" xfId="1" applyNumberFormat="1" applyAlignment="1">
      <alignment horizontal="center"/>
    </xf>
    <xf numFmtId="164" fontId="4" fillId="0" borderId="0" xfId="1" applyNumberFormat="1"/>
    <xf numFmtId="0" fontId="16" fillId="0" borderId="0" xfId="7" applyFont="1"/>
    <xf numFmtId="0" fontId="17" fillId="0" borderId="0" xfId="7" applyFont="1" applyAlignment="1">
      <alignment vertical="center"/>
    </xf>
    <xf numFmtId="0" fontId="17" fillId="0" borderId="0" xfId="7" applyFont="1" applyAlignment="1">
      <alignment horizontal="right"/>
    </xf>
    <xf numFmtId="3" fontId="17" fillId="0" borderId="0" xfId="8" applyNumberFormat="1" applyFont="1" applyAlignment="1">
      <alignment horizontal="right"/>
    </xf>
    <xf numFmtId="3" fontId="18" fillId="0" borderId="0" xfId="8" applyNumberFormat="1" applyFont="1" applyAlignment="1">
      <alignment horizontal="right"/>
    </xf>
    <xf numFmtId="0" fontId="21" fillId="0" borderId="6" xfId="6" applyFont="1" applyBorder="1" applyAlignment="1">
      <alignment horizontal="center" vertical="center" wrapText="1"/>
    </xf>
    <xf numFmtId="0" fontId="21" fillId="0" borderId="7" xfId="6" applyFont="1" applyBorder="1" applyAlignment="1">
      <alignment horizontal="center" vertical="center" wrapText="1"/>
    </xf>
    <xf numFmtId="0" fontId="20" fillId="0" borderId="0" xfId="6" applyFont="1" applyAlignment="1">
      <alignment wrapText="1"/>
    </xf>
    <xf numFmtId="3" fontId="20" fillId="0" borderId="8" xfId="6" applyNumberFormat="1" applyFont="1" applyBorder="1" applyAlignment="1">
      <alignment horizontal="right"/>
    </xf>
    <xf numFmtId="3" fontId="23" fillId="0" borderId="0" xfId="6" applyNumberFormat="1" applyFont="1"/>
    <xf numFmtId="3" fontId="20" fillId="0" borderId="9" xfId="6" applyNumberFormat="1" applyFont="1" applyBorder="1" applyAlignment="1">
      <alignment horizontal="right"/>
    </xf>
    <xf numFmtId="0" fontId="24" fillId="0" borderId="0" xfId="6" applyFont="1"/>
    <xf numFmtId="0" fontId="17" fillId="0" borderId="0" xfId="1" applyFont="1"/>
    <xf numFmtId="0" fontId="17" fillId="0" borderId="0" xfId="1" applyFont="1" applyAlignment="1">
      <alignment horizontal="centerContinuous"/>
    </xf>
    <xf numFmtId="0" fontId="17" fillId="0" borderId="0" xfId="1" applyFont="1" applyAlignment="1">
      <alignment horizontal="center" wrapText="1"/>
    </xf>
    <xf numFmtId="164" fontId="25" fillId="0" borderId="0" xfId="1" applyNumberFormat="1" applyFont="1"/>
    <xf numFmtId="0" fontId="26" fillId="0" borderId="0" xfId="6" applyFont="1"/>
    <xf numFmtId="164" fontId="26" fillId="0" borderId="0" xfId="6" applyNumberFormat="1" applyFont="1"/>
    <xf numFmtId="166" fontId="26" fillId="0" borderId="0" xfId="12" applyNumberFormat="1" applyFont="1"/>
    <xf numFmtId="6" fontId="26" fillId="0" borderId="0" xfId="6" applyNumberFormat="1" applyFont="1"/>
    <xf numFmtId="0" fontId="14" fillId="0" borderId="0" xfId="7" applyFont="1" applyAlignment="1">
      <alignment wrapText="1"/>
    </xf>
    <xf numFmtId="0" fontId="17" fillId="0" borderId="0" xfId="7" applyFont="1" applyAlignment="1">
      <alignment wrapText="1"/>
    </xf>
    <xf numFmtId="3" fontId="17" fillId="0" borderId="0" xfId="7" applyNumberFormat="1" applyFont="1" applyAlignment="1">
      <alignment horizontal="right"/>
    </xf>
    <xf numFmtId="3" fontId="16" fillId="0" borderId="0" xfId="7" applyNumberFormat="1" applyFont="1"/>
    <xf numFmtId="0" fontId="17" fillId="0" borderId="0" xfId="7" applyFont="1" applyAlignment="1">
      <alignment vertical="center" wrapText="1"/>
    </xf>
    <xf numFmtId="0" fontId="16" fillId="0" borderId="0" xfId="7" applyFont="1" applyAlignment="1">
      <alignment horizontal="center"/>
    </xf>
    <xf numFmtId="3" fontId="17" fillId="0" borderId="0" xfId="7" applyNumberFormat="1" applyFont="1" applyAlignment="1">
      <alignment vertical="center"/>
    </xf>
    <xf numFmtId="3" fontId="17" fillId="0" borderId="0" xfId="7" applyNumberFormat="1" applyFont="1" applyAlignment="1">
      <alignment horizontal="center" vertical="center"/>
    </xf>
    <xf numFmtId="167" fontId="16" fillId="0" borderId="0" xfId="7" applyNumberFormat="1" applyFont="1" applyAlignment="1">
      <alignment horizontal="center"/>
    </xf>
    <xf numFmtId="168" fontId="17" fillId="0" borderId="0" xfId="7" applyNumberFormat="1" applyFont="1" applyAlignment="1">
      <alignment horizontal="center" vertical="center"/>
    </xf>
    <xf numFmtId="0" fontId="19" fillId="0" borderId="0" xfId="7" applyFont="1"/>
    <xf numFmtId="170" fontId="17" fillId="0" borderId="0" xfId="8" applyNumberFormat="1" applyFont="1" applyAlignment="1">
      <alignment horizontal="right"/>
    </xf>
    <xf numFmtId="171" fontId="17" fillId="0" borderId="0" xfId="8" applyNumberFormat="1" applyFont="1" applyAlignment="1">
      <alignment horizontal="right"/>
    </xf>
    <xf numFmtId="169" fontId="17" fillId="0" borderId="0" xfId="7" applyNumberFormat="1" applyFont="1"/>
    <xf numFmtId="0" fontId="17" fillId="0" borderId="0" xfId="7" applyFont="1"/>
    <xf numFmtId="171" fontId="16" fillId="0" borderId="0" xfId="7" applyNumberFormat="1" applyFont="1"/>
    <xf numFmtId="0" fontId="3" fillId="0" borderId="0" xfId="43"/>
    <xf numFmtId="0" fontId="2" fillId="0" borderId="0" xfId="92"/>
    <xf numFmtId="0" fontId="29" fillId="0" borderId="0" xfId="92" applyFont="1"/>
    <xf numFmtId="0" fontId="30" fillId="0" borderId="0" xfId="43" applyFont="1" applyAlignment="1">
      <alignment horizontal="left" indent="1"/>
    </xf>
    <xf numFmtId="0" fontId="48" fillId="0" borderId="0" xfId="0" applyFont="1"/>
    <xf numFmtId="0" fontId="49" fillId="0" borderId="0" xfId="0" applyFont="1" applyAlignment="1">
      <alignment horizontal="left" vertical="center" wrapText="1"/>
    </xf>
    <xf numFmtId="0" fontId="11" fillId="0" borderId="0" xfId="3" applyFont="1" applyAlignment="1" applyProtection="1">
      <alignment wrapText="1"/>
    </xf>
    <xf numFmtId="0" fontId="6" fillId="0" borderId="0" xfId="1" applyFont="1"/>
    <xf numFmtId="0" fontId="11" fillId="0" borderId="0" xfId="3" applyFont="1" applyAlignment="1" applyProtection="1"/>
    <xf numFmtId="0" fontId="4" fillId="0" borderId="0" xfId="1" applyAlignment="1">
      <alignment wrapText="1"/>
    </xf>
    <xf numFmtId="0" fontId="13" fillId="0" borderId="0" xfId="1" applyFont="1" applyAlignment="1">
      <alignment vertical="top" wrapText="1"/>
    </xf>
    <xf numFmtId="0" fontId="4" fillId="0" borderId="0" xfId="1" applyAlignment="1">
      <alignment vertical="top" wrapText="1"/>
    </xf>
    <xf numFmtId="0" fontId="50" fillId="0" borderId="0" xfId="0" applyFont="1"/>
    <xf numFmtId="0" fontId="50" fillId="0" borderId="0" xfId="0" applyFont="1" applyAlignment="1">
      <alignment horizontal="left" vertical="center" wrapText="1"/>
    </xf>
    <xf numFmtId="0" fontId="53" fillId="0" borderId="0" xfId="3" applyFont="1" applyAlignment="1" applyProtection="1">
      <alignment horizontal="left" vertical="center" wrapText="1" indent="1"/>
    </xf>
    <xf numFmtId="0" fontId="54" fillId="0" borderId="0" xfId="0" applyFont="1" applyAlignment="1">
      <alignment wrapText="1"/>
    </xf>
    <xf numFmtId="0" fontId="50" fillId="0" borderId="0" xfId="0" applyFont="1" applyAlignment="1">
      <alignment horizontal="left" vertical="top" wrapText="1"/>
    </xf>
    <xf numFmtId="0" fontId="56" fillId="0" borderId="0" xfId="0" applyFont="1" applyAlignment="1">
      <alignment wrapText="1"/>
    </xf>
    <xf numFmtId="0" fontId="50" fillId="0" borderId="0" xfId="0" applyFont="1" applyAlignment="1">
      <alignment wrapText="1"/>
    </xf>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xf numFmtId="0" fontId="65" fillId="0" borderId="0" xfId="0" applyFont="1"/>
    <xf numFmtId="0" fontId="51" fillId="0" borderId="0" xfId="0" applyFont="1"/>
    <xf numFmtId="0" fontId="66" fillId="3" borderId="0" xfId="0" applyFont="1" applyFill="1" applyAlignment="1">
      <alignment horizontal="left" vertical="center"/>
    </xf>
    <xf numFmtId="0" fontId="66" fillId="3" borderId="0" xfId="0" applyFont="1" applyFill="1" applyAlignment="1">
      <alignment horizontal="right" vertical="center" indent="1"/>
    </xf>
    <xf numFmtId="0" fontId="67" fillId="0" borderId="0" xfId="0" applyFont="1" applyAlignment="1">
      <alignment horizontal="center" vertical="center" wrapText="1"/>
    </xf>
    <xf numFmtId="0" fontId="58" fillId="0" borderId="0" xfId="0" applyFont="1" applyAlignment="1">
      <alignment wrapText="1"/>
    </xf>
    <xf numFmtId="0" fontId="68" fillId="0" borderId="0" xfId="0" applyFont="1" applyAlignment="1">
      <alignment wrapText="1"/>
    </xf>
    <xf numFmtId="0" fontId="58" fillId="0" borderId="0" xfId="0" applyFont="1" applyAlignment="1">
      <alignment horizontal="left" vertical="top" wrapText="1"/>
    </xf>
    <xf numFmtId="0" fontId="69" fillId="0" borderId="0" xfId="0" applyFont="1" applyAlignment="1">
      <alignment wrapText="1"/>
    </xf>
    <xf numFmtId="0" fontId="70" fillId="0" borderId="0" xfId="0" applyFont="1" applyAlignment="1">
      <alignment horizontal="center" vertical="center" wrapText="1"/>
    </xf>
    <xf numFmtId="0" fontId="71" fillId="0" borderId="0" xfId="0" applyFont="1" applyAlignment="1">
      <alignment horizontal="center"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0" fontId="65" fillId="0" borderId="0" xfId="0" applyFont="1" applyAlignment="1">
      <alignment vertical="center" wrapText="1"/>
    </xf>
    <xf numFmtId="0" fontId="50" fillId="0" borderId="0" xfId="0" applyFont="1" applyAlignment="1">
      <alignment vertical="center" wrapText="1"/>
    </xf>
    <xf numFmtId="0" fontId="74" fillId="0" borderId="0" xfId="0" applyFont="1"/>
    <xf numFmtId="0" fontId="75" fillId="0" borderId="0" xfId="0" applyFont="1"/>
    <xf numFmtId="0" fontId="76" fillId="0" borderId="0" xfId="0" applyFont="1"/>
    <xf numFmtId="0" fontId="77" fillId="0" borderId="0" xfId="0" applyFont="1"/>
    <xf numFmtId="0" fontId="78" fillId="5" borderId="0" xfId="0" applyFont="1" applyFill="1" applyAlignment="1">
      <alignment horizontal="left" vertical="center"/>
    </xf>
    <xf numFmtId="0" fontId="79" fillId="0" borderId="0" xfId="0" applyFont="1" applyAlignment="1">
      <alignment horizontal="left" indent="1"/>
    </xf>
    <xf numFmtId="0" fontId="79" fillId="0" borderId="0" xfId="0" applyFont="1"/>
    <xf numFmtId="0" fontId="78" fillId="5" borderId="0" xfId="0" applyFont="1" applyFill="1" applyAlignment="1">
      <alignment horizontal="center" vertical="center"/>
    </xf>
    <xf numFmtId="0" fontId="79" fillId="0" borderId="0" xfId="0" applyFont="1" applyAlignment="1">
      <alignment horizontal="left"/>
    </xf>
    <xf numFmtId="0" fontId="79" fillId="0" borderId="0" xfId="0" applyFont="1" applyAlignment="1">
      <alignment horizontal="center"/>
    </xf>
    <xf numFmtId="0" fontId="55" fillId="0" borderId="0" xfId="0" applyFont="1" applyAlignment="1">
      <alignment horizontal="left" vertical="center" wrapText="1"/>
    </xf>
    <xf numFmtId="0" fontId="50" fillId="0" borderId="0" xfId="0" applyFont="1" applyAlignment="1">
      <alignment wrapText="1"/>
    </xf>
    <xf numFmtId="0" fontId="82" fillId="0" borderId="0" xfId="92" applyFont="1" applyAlignment="1">
      <alignment horizontal="left" vertical="center" wrapText="1"/>
    </xf>
    <xf numFmtId="0" fontId="60" fillId="0" borderId="0" xfId="92" applyFont="1" applyAlignment="1">
      <alignment horizontal="left"/>
    </xf>
    <xf numFmtId="0" fontId="60" fillId="0" borderId="0" xfId="92" applyFont="1"/>
    <xf numFmtId="0" fontId="60" fillId="0" borderId="22" xfId="92" applyFont="1" applyBorder="1"/>
    <xf numFmtId="0" fontId="60" fillId="0" borderId="23" xfId="92" applyFont="1" applyBorder="1"/>
    <xf numFmtId="0" fontId="60" fillId="0" borderId="24" xfId="92" applyFont="1" applyBorder="1"/>
    <xf numFmtId="0" fontId="60" fillId="0" borderId="25" xfId="92" applyFont="1" applyBorder="1"/>
    <xf numFmtId="0" fontId="62" fillId="0" borderId="0" xfId="92" applyFont="1" applyAlignment="1">
      <alignment horizontal="left"/>
    </xf>
    <xf numFmtId="0" fontId="60" fillId="5" borderId="22" xfId="92" applyFont="1" applyFill="1" applyBorder="1"/>
    <xf numFmtId="0" fontId="60" fillId="36" borderId="0" xfId="92" applyFont="1" applyFill="1"/>
    <xf numFmtId="0" fontId="60" fillId="37" borderId="0" xfId="92" applyFont="1" applyFill="1"/>
    <xf numFmtId="0" fontId="60" fillId="38" borderId="0" xfId="92" applyFont="1" applyFill="1"/>
    <xf numFmtId="0" fontId="60" fillId="39" borderId="0" xfId="92" applyFont="1" applyFill="1"/>
    <xf numFmtId="0" fontId="1" fillId="0" borderId="0" xfId="92" applyFont="1"/>
    <xf numFmtId="0" fontId="1" fillId="0" borderId="0" xfId="92" quotePrefix="1" applyFont="1"/>
    <xf numFmtId="0" fontId="50" fillId="0" borderId="0" xfId="51" applyFont="1"/>
    <xf numFmtId="0" fontId="84" fillId="5" borderId="0" xfId="43" applyFont="1" applyFill="1" applyAlignment="1">
      <alignment horizontal="left" vertical="center" wrapText="1" indent="1"/>
    </xf>
    <xf numFmtId="0" fontId="85" fillId="5" borderId="0" xfId="43" applyFont="1" applyFill="1" applyAlignment="1">
      <alignment horizontal="center" vertical="center"/>
    </xf>
    <xf numFmtId="0" fontId="86" fillId="3" borderId="10" xfId="43" applyFont="1" applyFill="1" applyBorder="1" applyAlignment="1">
      <alignment horizontal="left" vertical="center" indent="1"/>
    </xf>
    <xf numFmtId="176" fontId="86" fillId="3" borderId="10" xfId="44" applyNumberFormat="1" applyFont="1" applyFill="1" applyBorder="1" applyAlignment="1">
      <alignment horizontal="right" vertical="center" wrapText="1" indent="4"/>
    </xf>
    <xf numFmtId="176" fontId="86" fillId="3" borderId="10" xfId="44" applyNumberFormat="1" applyFont="1" applyFill="1" applyBorder="1" applyAlignment="1">
      <alignment horizontal="right" vertical="center" wrapText="1" indent="4" readingOrder="1"/>
    </xf>
    <xf numFmtId="0" fontId="86" fillId="3" borderId="11" xfId="43" applyFont="1" applyFill="1" applyBorder="1" applyAlignment="1">
      <alignment horizontal="left" vertical="center" indent="1"/>
    </xf>
    <xf numFmtId="176" fontId="86" fillId="3" borderId="11" xfId="44" applyNumberFormat="1" applyFont="1" applyFill="1" applyBorder="1" applyAlignment="1">
      <alignment horizontal="right" vertical="center" wrapText="1" indent="4"/>
    </xf>
    <xf numFmtId="0" fontId="86" fillId="3" borderId="12" xfId="43" applyFont="1" applyFill="1" applyBorder="1" applyAlignment="1">
      <alignment horizontal="left" vertical="center" indent="1"/>
    </xf>
    <xf numFmtId="176" fontId="86" fillId="3" borderId="12" xfId="44" applyNumberFormat="1" applyFont="1" applyFill="1" applyBorder="1" applyAlignment="1">
      <alignment horizontal="right" vertical="center" wrapText="1" indent="4"/>
    </xf>
    <xf numFmtId="0" fontId="81" fillId="4" borderId="0" xfId="43" applyFont="1" applyFill="1" applyAlignment="1">
      <alignment horizontal="left" vertical="center" wrapText="1" indent="1"/>
    </xf>
    <xf numFmtId="0" fontId="86" fillId="4" borderId="0" xfId="43" applyFont="1" applyFill="1" applyAlignment="1">
      <alignment horizontal="left" vertical="center" wrapText="1" indent="1"/>
    </xf>
    <xf numFmtId="0" fontId="87" fillId="0" borderId="0" xfId="43" applyFont="1"/>
    <xf numFmtId="0" fontId="88" fillId="0" borderId="26" xfId="43" applyFont="1" applyFill="1" applyBorder="1" applyAlignment="1">
      <alignment horizontal="left" vertical="center" wrapText="1" indent="1"/>
    </xf>
    <xf numFmtId="0" fontId="89" fillId="0" borderId="26" xfId="43" applyFont="1" applyFill="1" applyBorder="1" applyAlignment="1">
      <alignment horizontal="center" vertical="center"/>
    </xf>
    <xf numFmtId="0" fontId="90" fillId="0" borderId="26" xfId="43" applyFont="1" applyFill="1" applyBorder="1" applyAlignment="1">
      <alignment horizontal="left" vertical="center" indent="1"/>
    </xf>
    <xf numFmtId="176" fontId="90" fillId="0" borderId="26" xfId="44" applyNumberFormat="1" applyFont="1" applyFill="1" applyBorder="1" applyAlignment="1">
      <alignment horizontal="right" vertical="center" wrapText="1" indent="4"/>
    </xf>
    <xf numFmtId="176" fontId="90" fillId="0" borderId="26" xfId="44" applyNumberFormat="1" applyFont="1" applyFill="1" applyBorder="1" applyAlignment="1">
      <alignment horizontal="right" vertical="center" wrapText="1" indent="4" readingOrder="1"/>
    </xf>
    <xf numFmtId="0" fontId="90" fillId="0" borderId="26" xfId="43" applyFont="1" applyFill="1" applyBorder="1" applyAlignment="1">
      <alignment horizontal="left" vertical="center" wrapText="1" indent="1"/>
    </xf>
    <xf numFmtId="0" fontId="83" fillId="4" borderId="27" xfId="43" applyFont="1" applyFill="1" applyBorder="1" applyAlignment="1">
      <alignment horizontal="left" vertical="center" wrapText="1" indent="1"/>
    </xf>
    <xf numFmtId="0" fontId="91" fillId="0" borderId="0" xfId="6" applyFont="1"/>
    <xf numFmtId="0" fontId="92" fillId="0" borderId="0" xfId="4" applyFont="1" applyAlignment="1">
      <alignment horizontal="center"/>
    </xf>
    <xf numFmtId="0" fontId="93" fillId="0" borderId="0" xfId="4" applyFont="1"/>
    <xf numFmtId="0" fontId="93" fillId="0" borderId="2" xfId="4" applyFont="1" applyBorder="1"/>
    <xf numFmtId="0" fontId="94" fillId="0" borderId="3" xfId="4" applyFont="1" applyBorder="1" applyAlignment="1">
      <alignment horizontal="center" vertical="center" wrapText="1"/>
    </xf>
    <xf numFmtId="0" fontId="94" fillId="0" borderId="3" xfId="4" applyFont="1" applyBorder="1" applyAlignment="1">
      <alignment horizontal="center" vertical="center" wrapText="1"/>
    </xf>
    <xf numFmtId="0" fontId="93" fillId="0" borderId="3" xfId="5" applyFont="1" applyBorder="1" applyAlignment="1">
      <alignment horizontal="center" vertical="center" wrapText="1"/>
    </xf>
    <xf numFmtId="0" fontId="93" fillId="0" borderId="3" xfId="1" applyFont="1" applyBorder="1" applyAlignment="1">
      <alignment horizontal="center" vertical="center" wrapText="1"/>
    </xf>
    <xf numFmtId="0" fontId="93" fillId="0" borderId="3" xfId="1" applyFont="1" applyBorder="1" applyAlignment="1">
      <alignment horizontal="center" vertical="center" wrapText="1"/>
    </xf>
    <xf numFmtId="0" fontId="93" fillId="0" borderId="3" xfId="5" applyFont="1" applyBorder="1" applyAlignment="1">
      <alignment horizontal="center" vertical="center" wrapText="1"/>
    </xf>
    <xf numFmtId="0" fontId="94" fillId="0" borderId="0" xfId="4" applyFont="1" applyAlignment="1">
      <alignment horizontal="center" vertical="center" wrapText="1"/>
    </xf>
    <xf numFmtId="0" fontId="94" fillId="0" borderId="0" xfId="4" applyFont="1" applyAlignment="1">
      <alignment horizontal="center" vertical="center" wrapText="1"/>
    </xf>
    <xf numFmtId="0" fontId="93" fillId="0" borderId="0" xfId="5" applyFont="1" applyAlignment="1">
      <alignment horizontal="center" vertical="center" wrapText="1"/>
    </xf>
    <xf numFmtId="0" fontId="93" fillId="0" borderId="4" xfId="1" applyFont="1" applyBorder="1" applyAlignment="1">
      <alignment horizontal="center" vertical="center" wrapText="1"/>
    </xf>
    <xf numFmtId="0" fontId="93" fillId="0" borderId="0" xfId="1" applyFont="1" applyAlignment="1">
      <alignment horizontal="center" vertical="center" wrapText="1"/>
    </xf>
    <xf numFmtId="0" fontId="93" fillId="0" borderId="4" xfId="5" applyFont="1" applyBorder="1" applyAlignment="1">
      <alignment horizontal="center" vertical="center" wrapText="1"/>
    </xf>
    <xf numFmtId="0" fontId="94" fillId="0" borderId="5" xfId="4" applyFont="1" applyBorder="1" applyAlignment="1">
      <alignment horizontal="center" vertical="center" wrapText="1"/>
    </xf>
    <xf numFmtId="0" fontId="93" fillId="0" borderId="5" xfId="1" applyFont="1" applyBorder="1" applyAlignment="1">
      <alignment horizontal="center" vertical="center" wrapText="1"/>
    </xf>
    <xf numFmtId="0" fontId="93" fillId="0" borderId="0" xfId="5" applyFont="1" applyAlignment="1">
      <alignment horizontal="center"/>
    </xf>
    <xf numFmtId="0" fontId="94" fillId="0" borderId="4" xfId="4" applyFont="1" applyBorder="1" applyAlignment="1">
      <alignment horizontal="center" vertical="center" wrapText="1"/>
    </xf>
    <xf numFmtId="0" fontId="93" fillId="0" borderId="4" xfId="5" applyFont="1" applyBorder="1" applyAlignment="1">
      <alignment horizontal="center"/>
    </xf>
    <xf numFmtId="0" fontId="93" fillId="0" borderId="4" xfId="4" applyFont="1" applyBorder="1" applyAlignment="1">
      <alignment horizontal="center" vertical="center" wrapText="1"/>
    </xf>
    <xf numFmtId="0" fontId="94" fillId="0" borderId="0" xfId="4" applyFont="1" applyAlignment="1">
      <alignment horizontal="right"/>
    </xf>
    <xf numFmtId="165" fontId="93" fillId="0" borderId="0" xfId="4" applyNumberFormat="1" applyFont="1" applyAlignment="1">
      <alignment horizontal="right"/>
    </xf>
    <xf numFmtId="175" fontId="93" fillId="0" borderId="0" xfId="4" applyNumberFormat="1" applyFont="1" applyAlignment="1">
      <alignment horizontal="right"/>
    </xf>
    <xf numFmtId="0" fontId="93" fillId="0" borderId="0" xfId="4" applyFont="1" applyAlignment="1">
      <alignment horizontal="right"/>
    </xf>
    <xf numFmtId="3" fontId="93" fillId="0" borderId="0" xfId="4" applyNumberFormat="1" applyFont="1" applyAlignment="1">
      <alignment horizontal="right"/>
    </xf>
    <xf numFmtId="16" fontId="94" fillId="0" borderId="0" xfId="4" quotePrefix="1" applyNumberFormat="1" applyFont="1" applyAlignment="1">
      <alignment horizontal="right"/>
    </xf>
    <xf numFmtId="0" fontId="94" fillId="0" borderId="0" xfId="4" applyFont="1" applyAlignment="1">
      <alignment horizontal="left"/>
    </xf>
    <xf numFmtId="0" fontId="93" fillId="0" borderId="4" xfId="4" applyFont="1" applyBorder="1"/>
    <xf numFmtId="0" fontId="92" fillId="0" borderId="0" xfId="4" applyFont="1" applyAlignment="1">
      <alignment horizontal="center"/>
    </xf>
    <xf numFmtId="1" fontId="17" fillId="0" borderId="0" xfId="1" applyNumberFormat="1" applyFont="1"/>
  </cellXfs>
  <cellStyles count="93">
    <cellStyle name="20% - Accent1 2" xfId="52" xr:uid="{00000000-0005-0000-0000-000000000000}"/>
    <cellStyle name="20% - Accent2 2" xfId="53" xr:uid="{00000000-0005-0000-0000-000001000000}"/>
    <cellStyle name="20% - Accent3 2" xfId="54" xr:uid="{00000000-0005-0000-0000-000002000000}"/>
    <cellStyle name="20% - Accent4 2" xfId="55" xr:uid="{00000000-0005-0000-0000-000003000000}"/>
    <cellStyle name="20% - Accent5 2" xfId="56" xr:uid="{00000000-0005-0000-0000-000004000000}"/>
    <cellStyle name="20% - Accent6 2" xfId="57" xr:uid="{00000000-0005-0000-0000-000005000000}"/>
    <cellStyle name="40% - Accent1 2" xfId="58" xr:uid="{00000000-0005-0000-0000-000006000000}"/>
    <cellStyle name="40% - Accent2 2" xfId="59" xr:uid="{00000000-0005-0000-0000-000007000000}"/>
    <cellStyle name="40% - Accent3 2" xfId="60" xr:uid="{00000000-0005-0000-0000-000008000000}"/>
    <cellStyle name="40% - Accent4 2" xfId="61" xr:uid="{00000000-0005-0000-0000-000009000000}"/>
    <cellStyle name="40% - Accent5 2" xfId="62" xr:uid="{00000000-0005-0000-0000-00000A000000}"/>
    <cellStyle name="40% - Accent6 2" xfId="63" xr:uid="{00000000-0005-0000-0000-00000B000000}"/>
    <cellStyle name="60% - Accent1 2" xfId="64" xr:uid="{00000000-0005-0000-0000-00000C000000}"/>
    <cellStyle name="60% - Accent2 2" xfId="65" xr:uid="{00000000-0005-0000-0000-00000D000000}"/>
    <cellStyle name="60% - Accent3 2" xfId="66" xr:uid="{00000000-0005-0000-0000-00000E000000}"/>
    <cellStyle name="60% - Accent4 2" xfId="67" xr:uid="{00000000-0005-0000-0000-00000F000000}"/>
    <cellStyle name="60% - Accent5 2" xfId="68" xr:uid="{00000000-0005-0000-0000-000010000000}"/>
    <cellStyle name="60% - Accent6 2" xfId="69" xr:uid="{00000000-0005-0000-0000-000011000000}"/>
    <cellStyle name="Accent1 2" xfId="70" xr:uid="{00000000-0005-0000-0000-000012000000}"/>
    <cellStyle name="Accent2 2" xfId="71" xr:uid="{00000000-0005-0000-0000-000013000000}"/>
    <cellStyle name="Accent3 2" xfId="72" xr:uid="{00000000-0005-0000-0000-000014000000}"/>
    <cellStyle name="Accent4 2" xfId="73" xr:uid="{00000000-0005-0000-0000-000015000000}"/>
    <cellStyle name="Accent5 2" xfId="74" xr:uid="{00000000-0005-0000-0000-000016000000}"/>
    <cellStyle name="Accent6 2" xfId="75" xr:uid="{00000000-0005-0000-0000-000017000000}"/>
    <cellStyle name="Bad 2" xfId="76" xr:uid="{00000000-0005-0000-0000-000018000000}"/>
    <cellStyle name="Calculation 2" xfId="77" xr:uid="{00000000-0005-0000-0000-000019000000}"/>
    <cellStyle name="Check Cell 2" xfId="78" xr:uid="{00000000-0005-0000-0000-00001A000000}"/>
    <cellStyle name="Column Heading" xfId="45" xr:uid="{00000000-0005-0000-0000-00001B000000}"/>
    <cellStyle name="Column Spanner" xfId="46" xr:uid="{00000000-0005-0000-0000-00001C000000}"/>
    <cellStyle name="Comma 2" xfId="44" xr:uid="{00000000-0005-0000-0000-00001D000000}"/>
    <cellStyle name="Currency 2" xfId="11" xr:uid="{00000000-0005-0000-0000-00001E000000}"/>
    <cellStyle name="Data" xfId="47" xr:uid="{00000000-0005-0000-0000-00001F000000}"/>
    <cellStyle name="Explanatory Text 2" xfId="79" xr:uid="{00000000-0005-0000-0000-000020000000}"/>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Good 2" xfId="80" xr:uid="{00000000-0005-0000-0000-00003F000000}"/>
    <cellStyle name="Heading 1 2" xfId="81" xr:uid="{00000000-0005-0000-0000-000040000000}"/>
    <cellStyle name="Heading 2 2" xfId="82" xr:uid="{00000000-0005-0000-0000-000041000000}"/>
    <cellStyle name="Heading 3 2" xfId="83" xr:uid="{00000000-0005-0000-0000-000042000000}"/>
    <cellStyle name="Heading 4 2" xfId="84" xr:uid="{00000000-0005-0000-0000-000043000000}"/>
    <cellStyle name="Hyperlink" xfId="3" builtinId="8"/>
    <cellStyle name="Hyperlink 2" xfId="10" xr:uid="{00000000-0005-0000-0000-000045000000}"/>
    <cellStyle name="Input 2" xfId="85" xr:uid="{00000000-0005-0000-0000-000046000000}"/>
    <cellStyle name="Linked Cell 2" xfId="86" xr:uid="{00000000-0005-0000-0000-000047000000}"/>
    <cellStyle name="Neutral 2" xfId="87" xr:uid="{00000000-0005-0000-0000-000048000000}"/>
    <cellStyle name="Normal" xfId="0" builtinId="0"/>
    <cellStyle name="Normal 2" xfId="1" xr:uid="{00000000-0005-0000-0000-00004A000000}"/>
    <cellStyle name="Normal 2 2" xfId="88" xr:uid="{00000000-0005-0000-0000-00004B000000}"/>
    <cellStyle name="Normal 3" xfId="6" xr:uid="{00000000-0005-0000-0000-00004C000000}"/>
    <cellStyle name="Normal 4" xfId="7" xr:uid="{00000000-0005-0000-0000-00004D000000}"/>
    <cellStyle name="Normal 5" xfId="43" xr:uid="{00000000-0005-0000-0000-00004E000000}"/>
    <cellStyle name="Normal 6" xfId="51" xr:uid="{00000000-0005-0000-0000-00004F000000}"/>
    <cellStyle name="Normal 7" xfId="92" xr:uid="{00000000-0005-0000-0000-000050000000}"/>
    <cellStyle name="Normal_Acc and Freeze Options" xfId="4" xr:uid="{00000000-0005-0000-0000-000051000000}"/>
    <cellStyle name="Normal_BG suggestion" xfId="5" xr:uid="{00000000-0005-0000-0000-000052000000}"/>
    <cellStyle name="Normal_TBL14" xfId="8" xr:uid="{00000000-0005-0000-0000-000053000000}"/>
    <cellStyle name="Note 2" xfId="9" xr:uid="{00000000-0005-0000-0000-000054000000}"/>
    <cellStyle name="Output 2" xfId="89" xr:uid="{00000000-0005-0000-0000-000055000000}"/>
    <cellStyle name="Percent 2" xfId="2" xr:uid="{00000000-0005-0000-0000-000056000000}"/>
    <cellStyle name="Percent 3" xfId="12" xr:uid="{00000000-0005-0000-0000-000057000000}"/>
    <cellStyle name="Row Stub" xfId="48" xr:uid="{00000000-0005-0000-0000-000058000000}"/>
    <cellStyle name="Stub Heading" xfId="49" xr:uid="{00000000-0005-0000-0000-000059000000}"/>
    <cellStyle name="Table Title" xfId="50" xr:uid="{00000000-0005-0000-0000-00005A000000}"/>
    <cellStyle name="Total 2" xfId="90" xr:uid="{00000000-0005-0000-0000-00005B000000}"/>
    <cellStyle name="Warning Text 2" xfId="91" xr:uid="{00000000-0005-0000-0000-00005C000000}"/>
  </cellStyles>
  <dxfs count="0"/>
  <tableStyles count="0" defaultTableStyle="TableStyleMedium9" defaultPivotStyle="PivotStyleMedium4"/>
  <colors>
    <mruColors>
      <color rgb="FFFF00FF"/>
      <color rgb="FF008BB0"/>
      <color rgb="FFE1F3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1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914141414141419E-3"/>
          <c:y val="0.18401682439537329"/>
          <c:w val="0.97327441077441079"/>
          <c:h val="0.70101647388713639"/>
        </c:manualLayout>
      </c:layout>
      <c:barChart>
        <c:barDir val="col"/>
        <c:grouping val="clustered"/>
        <c:varyColors val="0"/>
        <c:ser>
          <c:idx val="0"/>
          <c:order val="0"/>
          <c:spPr>
            <a:solidFill>
              <a:srgbClr val="174A7C"/>
            </a:solidFill>
            <a:ln>
              <a:noFill/>
            </a:ln>
            <a:effectLst/>
          </c:spPr>
          <c:invertIfNegative val="0"/>
          <c:cat>
            <c:strRef>
              <c:f>Column!$B$5:$B$10</c:f>
              <c:strCache>
                <c:ptCount val="6"/>
                <c:pt idx="0">
                  <c:v>$0–$24,600</c:v>
                </c:pt>
                <c:pt idx="1">
                  <c:v>$24,600–$45,300</c:v>
                </c:pt>
                <c:pt idx="2">
                  <c:v>$45,300–$66,400</c:v>
                </c:pt>
                <c:pt idx="3">
                  <c:v>$66,400–$97,500</c:v>
                </c:pt>
                <c:pt idx="4">
                  <c:v>$97,500 and above</c:v>
                </c:pt>
                <c:pt idx="5">
                  <c:v>$1,453,100 and above</c:v>
                </c:pt>
              </c:strCache>
            </c:strRef>
          </c:cat>
          <c:val>
            <c:numRef>
              <c:f>Column!$D$5:$D$10</c:f>
              <c:numCache>
                <c:formatCode>0.0%</c:formatCode>
                <c:ptCount val="6"/>
                <c:pt idx="0">
                  <c:v>1.9E-2</c:v>
                </c:pt>
                <c:pt idx="1">
                  <c:v>7.0000000000000007E-2</c:v>
                </c:pt>
                <c:pt idx="2">
                  <c:v>0.11199999999999999</c:v>
                </c:pt>
                <c:pt idx="3">
                  <c:v>0.152</c:v>
                </c:pt>
                <c:pt idx="4">
                  <c:v>0.23399999999999999</c:v>
                </c:pt>
                <c:pt idx="5">
                  <c:v>0.28999999999999998</c:v>
                </c:pt>
              </c:numCache>
            </c:numRef>
          </c:val>
          <c:extLst>
            <c:ext xmlns:c16="http://schemas.microsoft.com/office/drawing/2014/chart" uri="{C3380CC4-5D6E-409C-BE32-E72D297353CC}">
              <c16:uniqueId val="{00000000-2BBF-497D-823A-2EA95FC557B9}"/>
            </c:ext>
          </c:extLst>
        </c:ser>
        <c:dLbls>
          <c:showLegendKey val="0"/>
          <c:showVal val="0"/>
          <c:showCatName val="0"/>
          <c:showSerName val="0"/>
          <c:showPercent val="0"/>
          <c:showBubbleSize val="0"/>
        </c:dLbls>
        <c:gapWidth val="70"/>
        <c:axId val="526163855"/>
        <c:axId val="526139855"/>
      </c:barChart>
      <c:catAx>
        <c:axId val="526163855"/>
        <c:scaling>
          <c:orientation val="minMax"/>
        </c:scaling>
        <c:delete val="0"/>
        <c:axPos val="b"/>
        <c:numFmt formatCode="General" sourceLinked="1"/>
        <c:majorTickMark val="none"/>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39855"/>
        <c:crosses val="autoZero"/>
        <c:auto val="1"/>
        <c:lblAlgn val="ctr"/>
        <c:lblOffset val="100"/>
        <c:noMultiLvlLbl val="0"/>
      </c:catAx>
      <c:valAx>
        <c:axId val="526139855"/>
        <c:scaling>
          <c:orientation val="minMax"/>
        </c:scaling>
        <c:delete val="0"/>
        <c:axPos val="l"/>
        <c:majorGridlines>
          <c:spPr>
            <a:ln w="12700" cap="flat" cmpd="sng" algn="ctr">
              <a:solidFill>
                <a:srgbClr val="DDDDDD"/>
              </a:solidFill>
              <a:prstDash val="solid"/>
              <a:round/>
            </a:ln>
            <a:effectLst/>
          </c:spPr>
        </c:majorGridlines>
        <c:numFmt formatCode="0.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6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625804696083352E-3"/>
          <c:y val="0.18771788683293109"/>
          <c:w val="0.98205159125169461"/>
          <c:h val="0.611595362727688"/>
        </c:manualLayout>
      </c:layout>
      <c:barChart>
        <c:barDir val="col"/>
        <c:grouping val="clustered"/>
        <c:varyColors val="0"/>
        <c:ser>
          <c:idx val="0"/>
          <c:order val="0"/>
          <c:spPr>
            <a:solidFill>
              <a:srgbClr val="174A7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venir TPC"/>
                    <a:ea typeface="Avenir TPC"/>
                    <a:cs typeface="Avenir TPC"/>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Column!$B$35:$B$40</c:f>
              <c:strCache>
                <c:ptCount val="6"/>
                <c:pt idx="0">
                  <c:v>$10,000–$15,000</c:v>
                </c:pt>
                <c:pt idx="1">
                  <c:v>$20,000–$30,000</c:v>
                </c:pt>
                <c:pt idx="2">
                  <c:v>$30,000–$40,000</c:v>
                </c:pt>
                <c:pt idx="3">
                  <c:v>$50,000–$75,000</c:v>
                </c:pt>
                <c:pt idx="4">
                  <c:v>$75,000–$100,000</c:v>
                </c:pt>
                <c:pt idx="5">
                  <c:v>$200,000 and above</c:v>
                </c:pt>
              </c:strCache>
            </c:strRef>
          </c:cat>
          <c:val>
            <c:numRef>
              <c:f>Column!$D$35:$D$40</c:f>
              <c:numCache>
                <c:formatCode>0.0%</c:formatCode>
                <c:ptCount val="6"/>
                <c:pt idx="0">
                  <c:v>0.215</c:v>
                </c:pt>
                <c:pt idx="1">
                  <c:v>0.23199999999999998</c:v>
                </c:pt>
                <c:pt idx="2">
                  <c:v>0.23</c:v>
                </c:pt>
                <c:pt idx="3">
                  <c:v>0.222</c:v>
                </c:pt>
                <c:pt idx="4">
                  <c:v>0.215</c:v>
                </c:pt>
                <c:pt idx="5">
                  <c:v>0.156</c:v>
                </c:pt>
              </c:numCache>
            </c:numRef>
          </c:val>
          <c:extLst>
            <c:ext xmlns:c16="http://schemas.microsoft.com/office/drawing/2014/chart" uri="{C3380CC4-5D6E-409C-BE32-E72D297353CC}">
              <c16:uniqueId val="{00000000-7B3B-4B6E-B2A6-17CBB3AF4DD8}"/>
            </c:ext>
          </c:extLst>
        </c:ser>
        <c:dLbls>
          <c:showLegendKey val="0"/>
          <c:showVal val="0"/>
          <c:showCatName val="0"/>
          <c:showSerName val="0"/>
          <c:showPercent val="0"/>
          <c:showBubbleSize val="0"/>
        </c:dLbls>
        <c:gapWidth val="70"/>
        <c:axId val="526144175"/>
        <c:axId val="526153775"/>
      </c:barChart>
      <c:catAx>
        <c:axId val="526144175"/>
        <c:scaling>
          <c:orientation val="minMax"/>
        </c:scaling>
        <c:delete val="0"/>
        <c:axPos val="b"/>
        <c:numFmt formatCode="General" sourceLinked="1"/>
        <c:majorTickMark val="none"/>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53775"/>
        <c:crosses val="autoZero"/>
        <c:auto val="1"/>
        <c:lblAlgn val="ctr"/>
        <c:lblOffset val="100"/>
        <c:noMultiLvlLbl val="0"/>
      </c:catAx>
      <c:valAx>
        <c:axId val="526153775"/>
        <c:scaling>
          <c:orientation val="minMax"/>
        </c:scaling>
        <c:delete val="1"/>
        <c:axPos val="l"/>
        <c:numFmt formatCode="0.0%" sourceLinked="1"/>
        <c:majorTickMark val="none"/>
        <c:minorTickMark val="none"/>
        <c:tickLblPos val="nextTo"/>
        <c:crossAx val="52614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768262840389763E-3"/>
          <c:y val="0.18034027308669925"/>
          <c:w val="0.97147524169814037"/>
          <c:h val="0.68701056413980666"/>
        </c:manualLayout>
      </c:layout>
      <c:barChart>
        <c:barDir val="col"/>
        <c:grouping val="clustered"/>
        <c:varyColors val="0"/>
        <c:ser>
          <c:idx val="0"/>
          <c:order val="0"/>
          <c:spPr>
            <a:solidFill>
              <a:srgbClr val="174A7C"/>
            </a:solidFill>
            <a:ln>
              <a:noFill/>
            </a:ln>
            <a:effectLst/>
          </c:spPr>
          <c:invertIfNegative val="0"/>
          <c:cat>
            <c:strRef>
              <c:f>('Column Distribution'!$A$9:$A$15,'Column Distribution'!$A$17:$A$21)</c:f>
              <c:strCache>
                <c:ptCount val="12"/>
                <c:pt idx="0">
                  <c:v>Lowest quintile</c:v>
                </c:pt>
                <c:pt idx="1">
                  <c:v>Second quintile</c:v>
                </c:pt>
                <c:pt idx="2">
                  <c:v>Middle quintile</c:v>
                </c:pt>
                <c:pt idx="3">
                  <c:v>Fourth quintile</c:v>
                </c:pt>
                <c:pt idx="4">
                  <c:v>Top quintile</c:v>
                </c:pt>
                <c:pt idx="5">
                  <c:v>All</c:v>
                </c:pt>
                <c:pt idx="7">
                  <c:v>Top 10 percent</c:v>
                </c:pt>
                <c:pt idx="8">
                  <c:v>Top 5 percent</c:v>
                </c:pt>
                <c:pt idx="9">
                  <c:v>Top 1 percent</c:v>
                </c:pt>
                <c:pt idx="10">
                  <c:v>Top 0.5 percent</c:v>
                </c:pt>
                <c:pt idx="11">
                  <c:v>Top 0.1 percent</c:v>
                </c:pt>
              </c:strCache>
            </c:strRef>
          </c:cat>
          <c:val>
            <c:numRef>
              <c:f>('Column Distribution'!$M$9:$M$15,'Column Distribution'!$M$17:$M$21)</c:f>
              <c:numCache>
                <c:formatCode>#,##0.0</c:formatCode>
                <c:ptCount val="12"/>
                <c:pt idx="0">
                  <c:v>-9.75</c:v>
                </c:pt>
                <c:pt idx="1">
                  <c:v>-19.07</c:v>
                </c:pt>
                <c:pt idx="2">
                  <c:v>-11.58</c:v>
                </c:pt>
                <c:pt idx="3">
                  <c:v>-8.41</c:v>
                </c:pt>
                <c:pt idx="4">
                  <c:v>-9.07</c:v>
                </c:pt>
                <c:pt idx="5">
                  <c:v>-9.43</c:v>
                </c:pt>
                <c:pt idx="7">
                  <c:v>-9.4600000000000009</c:v>
                </c:pt>
                <c:pt idx="8">
                  <c:v>-10.39</c:v>
                </c:pt>
                <c:pt idx="9">
                  <c:v>-13.37</c:v>
                </c:pt>
                <c:pt idx="10">
                  <c:v>-13.91</c:v>
                </c:pt>
                <c:pt idx="11">
                  <c:v>-13.68</c:v>
                </c:pt>
              </c:numCache>
            </c:numRef>
          </c:val>
          <c:extLst>
            <c:ext xmlns:c16="http://schemas.microsoft.com/office/drawing/2014/chart" uri="{C3380CC4-5D6E-409C-BE32-E72D297353CC}">
              <c16:uniqueId val="{00000000-5041-453F-B729-18FF02715EDA}"/>
            </c:ext>
          </c:extLst>
        </c:ser>
        <c:dLbls>
          <c:showLegendKey val="0"/>
          <c:showVal val="0"/>
          <c:showCatName val="0"/>
          <c:showSerName val="0"/>
          <c:showPercent val="0"/>
          <c:showBubbleSize val="0"/>
        </c:dLbls>
        <c:gapWidth val="70"/>
        <c:axId val="526130255"/>
        <c:axId val="526118255"/>
      </c:barChart>
      <c:catAx>
        <c:axId val="526130255"/>
        <c:scaling>
          <c:orientation val="minMax"/>
        </c:scaling>
        <c:delete val="0"/>
        <c:axPos val="b"/>
        <c:numFmt formatCode="General" sourceLinked="1"/>
        <c:majorTickMark val="none"/>
        <c:minorTickMark val="none"/>
        <c:tickLblPos val="high"/>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18255"/>
        <c:crosses val="autoZero"/>
        <c:auto val="1"/>
        <c:lblAlgn val="ctr"/>
        <c:lblOffset val="100"/>
        <c:noMultiLvlLbl val="0"/>
      </c:catAx>
      <c:valAx>
        <c:axId val="526118255"/>
        <c:scaling>
          <c:orientation val="minMax"/>
        </c:scaling>
        <c:delete val="0"/>
        <c:axPos val="l"/>
        <c:majorGridlines>
          <c:spPr>
            <a:ln w="12700" cap="flat" cmpd="sng" algn="ctr">
              <a:solidFill>
                <a:srgbClr val="DDDDDD"/>
              </a:solidFill>
              <a:prstDash val="solid"/>
              <a:round/>
            </a:ln>
            <a:effectLst/>
          </c:spPr>
        </c:majorGridlines>
        <c:numFmt formatCode="#,##0.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914141414141419E-3"/>
          <c:y val="0.18401682439537329"/>
          <c:w val="0.97327441077441079"/>
          <c:h val="0.70101647388713639"/>
        </c:manualLayout>
      </c:layout>
      <c:barChart>
        <c:barDir val="bar"/>
        <c:grouping val="clustered"/>
        <c:varyColors val="0"/>
        <c:ser>
          <c:idx val="0"/>
          <c:order val="0"/>
          <c:spPr>
            <a:solidFill>
              <a:srgbClr val="008BB0"/>
            </a:solidFill>
            <a:ln>
              <a:noFill/>
            </a:ln>
            <a:effectLst/>
          </c:spPr>
          <c:invertIfNegative val="0"/>
          <c:dPt>
            <c:idx val="1"/>
            <c:invertIfNegative val="0"/>
            <c:bubble3D val="0"/>
            <c:spPr>
              <a:solidFill>
                <a:srgbClr val="174A7C"/>
              </a:solidFill>
              <a:ln>
                <a:noFill/>
              </a:ln>
              <a:effectLst/>
            </c:spPr>
            <c:extLst>
              <c:ext xmlns:c16="http://schemas.microsoft.com/office/drawing/2014/chart" uri="{C3380CC4-5D6E-409C-BE32-E72D297353CC}">
                <c16:uniqueId val="{00000002-178A-4F56-A62E-56116FA88023}"/>
              </c:ext>
            </c:extLst>
          </c:dPt>
          <c:dPt>
            <c:idx val="14"/>
            <c:invertIfNegative val="0"/>
            <c:bubble3D val="0"/>
            <c:spPr>
              <a:solidFill>
                <a:srgbClr val="F0573E"/>
              </a:solidFill>
              <a:ln>
                <a:noFill/>
              </a:ln>
              <a:effectLst/>
            </c:spPr>
            <c:extLst>
              <c:ext xmlns:c16="http://schemas.microsoft.com/office/drawing/2014/chart" uri="{C3380CC4-5D6E-409C-BE32-E72D297353CC}">
                <c16:uniqueId val="{00000001-178A-4F56-A62E-56116FA88023}"/>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A-4F56-A62E-56116FA88023}"/>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A-4F56-A62E-56116FA88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horizontal'!$A$20:$A$37</c:f>
              <c:strCache>
                <c:ptCount val="18"/>
                <c:pt idx="0">
                  <c:v>Portugal</c:v>
                </c:pt>
                <c:pt idx="1">
                  <c:v>OECD-Total</c:v>
                </c:pt>
                <c:pt idx="2">
                  <c:v>Poland</c:v>
                </c:pt>
                <c:pt idx="3">
                  <c:v>Israel </c:v>
                </c:pt>
                <c:pt idx="4">
                  <c:v>New Zealand</c:v>
                </c:pt>
                <c:pt idx="5">
                  <c:v>Spain</c:v>
                </c:pt>
                <c:pt idx="6">
                  <c:v>Greece</c:v>
                </c:pt>
                <c:pt idx="7">
                  <c:v>Canada</c:v>
                </c:pt>
                <c:pt idx="8">
                  <c:v>Slovak Republic</c:v>
                </c:pt>
                <c:pt idx="9">
                  <c:v>Switzerland</c:v>
                </c:pt>
                <c:pt idx="10">
                  <c:v>Ireland</c:v>
                </c:pt>
                <c:pt idx="11">
                  <c:v>Japan</c:v>
                </c:pt>
                <c:pt idx="12">
                  <c:v>Australia</c:v>
                </c:pt>
                <c:pt idx="13">
                  <c:v>Korea</c:v>
                </c:pt>
                <c:pt idx="14">
                  <c:v>United States</c:v>
                </c:pt>
                <c:pt idx="15">
                  <c:v>Turkey</c:v>
                </c:pt>
                <c:pt idx="16">
                  <c:v>Chile</c:v>
                </c:pt>
                <c:pt idx="17">
                  <c:v>Mexico</c:v>
                </c:pt>
              </c:strCache>
            </c:strRef>
          </c:cat>
          <c:val>
            <c:numRef>
              <c:f>'Bar horizontal'!$C$20:$C$37</c:f>
              <c:numCache>
                <c:formatCode>0%</c:formatCode>
                <c:ptCount val="18"/>
                <c:pt idx="0">
                  <c:v>0.35247600000000001</c:v>
                </c:pt>
                <c:pt idx="1">
                  <c:v>0.34813749999999999</c:v>
                </c:pt>
                <c:pt idx="2">
                  <c:v>0.34289520000000001</c:v>
                </c:pt>
                <c:pt idx="3">
                  <c:v>0.33772460000000004</c:v>
                </c:pt>
                <c:pt idx="4">
                  <c:v>0.33721329999999999</c:v>
                </c:pt>
                <c:pt idx="5">
                  <c:v>0.33257359999999997</c:v>
                </c:pt>
                <c:pt idx="6">
                  <c:v>0.32569029999999999</c:v>
                </c:pt>
                <c:pt idx="7">
                  <c:v>0.32326410000000005</c:v>
                </c:pt>
                <c:pt idx="8">
                  <c:v>0.29319230000000002</c:v>
                </c:pt>
                <c:pt idx="9">
                  <c:v>0.29078080000000001</c:v>
                </c:pt>
                <c:pt idx="10">
                  <c:v>0.28755510000000001</c:v>
                </c:pt>
                <c:pt idx="11">
                  <c:v>0.28148279999999998</c:v>
                </c:pt>
                <c:pt idx="12">
                  <c:v>0.27059800000000001</c:v>
                </c:pt>
                <c:pt idx="13">
                  <c:v>0.26518630000000004</c:v>
                </c:pt>
                <c:pt idx="14">
                  <c:v>0.26064110000000001</c:v>
                </c:pt>
                <c:pt idx="15">
                  <c:v>0.242227</c:v>
                </c:pt>
                <c:pt idx="16">
                  <c:v>0.22497319999999998</c:v>
                </c:pt>
                <c:pt idx="17">
                  <c:v>0.21002790000000002</c:v>
                </c:pt>
              </c:numCache>
            </c:numRef>
          </c:val>
          <c:extLst>
            <c:ext xmlns:c16="http://schemas.microsoft.com/office/drawing/2014/chart" uri="{C3380CC4-5D6E-409C-BE32-E72D297353CC}">
              <c16:uniqueId val="{00000000-178A-4F56-A62E-56116FA88023}"/>
            </c:ext>
          </c:extLst>
        </c:ser>
        <c:dLbls>
          <c:showLegendKey val="0"/>
          <c:showVal val="0"/>
          <c:showCatName val="0"/>
          <c:showSerName val="0"/>
          <c:showPercent val="0"/>
          <c:showBubbleSize val="0"/>
        </c:dLbls>
        <c:gapWidth val="70"/>
        <c:axId val="526115855"/>
        <c:axId val="526116815"/>
      </c:barChart>
      <c:catAx>
        <c:axId val="526115855"/>
        <c:scaling>
          <c:orientation val="minMax"/>
        </c:scaling>
        <c:delete val="0"/>
        <c:axPos val="l"/>
        <c:numFmt formatCode="General" sourceLinked="1"/>
        <c:majorTickMark val="none"/>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16815"/>
        <c:crosses val="autoZero"/>
        <c:auto val="1"/>
        <c:lblAlgn val="ctr"/>
        <c:lblOffset val="100"/>
        <c:noMultiLvlLbl val="0"/>
      </c:catAx>
      <c:valAx>
        <c:axId val="526116815"/>
        <c:scaling>
          <c:orientation val="minMax"/>
        </c:scaling>
        <c:delete val="0"/>
        <c:axPos val="b"/>
        <c:majorGridlines>
          <c:spPr>
            <a:ln w="12700" cap="flat" cmpd="sng" algn="ctr">
              <a:solidFill>
                <a:srgbClr val="DDDDDD"/>
              </a:solidFill>
              <a:prstDash val="solid"/>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1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Figure 2: Growth of Refundable Credits Over Time </a:t>
            </a:r>
          </a:p>
        </c:rich>
      </c:tx>
      <c:overlay val="0"/>
      <c:spPr>
        <a:noFill/>
        <a:ln w="25400">
          <a:noFill/>
        </a:ln>
      </c:spPr>
    </c:title>
    <c:autoTitleDeleted val="0"/>
    <c:plotArea>
      <c:layout/>
      <c:areaChart>
        <c:grouping val="stacked"/>
        <c:varyColors val="0"/>
        <c:ser>
          <c:idx val="0"/>
          <c:order val="0"/>
          <c:spPr>
            <a:solidFill>
              <a:srgbClr val="333399"/>
            </a:solidFill>
            <a:ln w="12700">
              <a:solidFill>
                <a:srgbClr val="000000"/>
              </a:solidFill>
              <a:prstDash val="solid"/>
            </a:ln>
          </c:spPr>
          <c:val>
            <c:numRef>
              <c:f>'Macintosh HD:Users:timmeko:projects:TPC-styleguide:excel files:[bar.xls]Graph'!#REF!</c:f>
              <c:numCache>
                <c:formatCode>General</c:formatCode>
                <c:ptCount val="31"/>
                <c:pt idx="0">
                  <c:v>2.9548800000000002</c:v>
                </c:pt>
                <c:pt idx="1">
                  <c:v>2.9500920000000002</c:v>
                </c:pt>
                <c:pt idx="2">
                  <c:v>2.9453040000000001</c:v>
                </c:pt>
                <c:pt idx="3">
                  <c:v>2.9405160000000001</c:v>
                </c:pt>
                <c:pt idx="4">
                  <c:v>2.9357280000000001</c:v>
                </c:pt>
                <c:pt idx="5">
                  <c:v>2.9309400000000001</c:v>
                </c:pt>
                <c:pt idx="6">
                  <c:v>2.9261520000000001</c:v>
                </c:pt>
                <c:pt idx="7">
                  <c:v>2.9213640000000001</c:v>
                </c:pt>
                <c:pt idx="8">
                  <c:v>2.9165760000000001</c:v>
                </c:pt>
                <c:pt idx="9">
                  <c:v>2.911788</c:v>
                </c:pt>
                <c:pt idx="10">
                  <c:v>2.907</c:v>
                </c:pt>
                <c:pt idx="11">
                  <c:v>3.9893999999999998</c:v>
                </c:pt>
                <c:pt idx="12">
                  <c:v>5.0717999999999996</c:v>
                </c:pt>
                <c:pt idx="13">
                  <c:v>6.1541999999999977</c:v>
                </c:pt>
                <c:pt idx="14">
                  <c:v>7.2366000000000001</c:v>
                </c:pt>
                <c:pt idx="15">
                  <c:v>8.3190000000000008</c:v>
                </c:pt>
                <c:pt idx="16">
                  <c:v>11.91225</c:v>
                </c:pt>
                <c:pt idx="17">
                  <c:v>15.5055</c:v>
                </c:pt>
                <c:pt idx="18">
                  <c:v>19.098749999999999</c:v>
                </c:pt>
                <c:pt idx="19">
                  <c:v>22.692</c:v>
                </c:pt>
                <c:pt idx="20">
                  <c:v>27.709</c:v>
                </c:pt>
                <c:pt idx="21">
                  <c:v>29.600999999999999</c:v>
                </c:pt>
                <c:pt idx="22">
                  <c:v>30.59</c:v>
                </c:pt>
                <c:pt idx="23">
                  <c:v>33.448</c:v>
                </c:pt>
                <c:pt idx="24">
                  <c:v>33</c:v>
                </c:pt>
                <c:pt idx="25">
                  <c:v>32.420999999999999</c:v>
                </c:pt>
                <c:pt idx="26">
                  <c:v>33.176000000000002</c:v>
                </c:pt>
                <c:pt idx="27">
                  <c:v>29.042999999999999</c:v>
                </c:pt>
                <c:pt idx="28">
                  <c:v>33.060806324110672</c:v>
                </c:pt>
                <c:pt idx="29">
                  <c:v>38.351999999999997</c:v>
                </c:pt>
                <c:pt idx="30">
                  <c:v>38.1</c:v>
                </c:pt>
              </c:numCache>
            </c:numRef>
          </c:val>
          <c:extLst>
            <c:ext xmlns:c15="http://schemas.microsoft.com/office/drawing/2012/chart" uri="{02D57815-91ED-43cb-92C2-25804820EDAC}">
              <c15:filteredSeriesTitle>
                <c15:tx>
                  <c:strRef>
                    <c:extLst>
                      <c:ext uri="{02D57815-91ED-43cb-92C2-25804820EDAC}">
                        <c15:formulaRef>
                          <c15:sqref>'Macintosh HD:Users:timmeko:projects:TPC-styleguide:excel files:[bar.xls]Graph'!#REF!</c15:sqref>
                        </c15:formulaRef>
                      </c:ext>
                    </c:extLst>
                    <c:strCache>
                      <c:ptCount val="1"/>
                      <c:pt idx="0">
                        <c:v>Refundable Element of EITC</c:v>
                      </c:pt>
                    </c:strCache>
                  </c:strRef>
                </c15:tx>
              </c15:filteredSeriesTitle>
            </c:ext>
            <c:ext xmlns:c15="http://schemas.microsoft.com/office/drawing/2012/chart" uri="{02D57815-91ED-43cb-92C2-25804820EDAC}">
              <c15:filteredCategoryTitle>
                <c15:cat>
                  <c:numRef>
                    <c:extLst>
                      <c:ext uri="{02D57815-91ED-43cb-92C2-25804820EDAC}">
                        <c15:formulaRef>
                          <c15:sqref>'Macintosh HD:Users:timmeko:projects:TPC-styleguide:excel files:[bar.xls]Graph'!#REF!</c15:sqref>
                        </c15:formulaRef>
                      </c:ext>
                    </c:extLst>
                    <c:numCache>
                      <c:formatCode>General</c:formatCode>
                      <c:ptCount val="3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9">
                        <c:v>2002</c:v>
                      </c:pt>
                      <c:pt idx="30">
                        <c:v>2003</c:v>
                      </c:pt>
                    </c:numCache>
                  </c:numRef>
                </c15:cat>
              </c15:filteredCategoryTitle>
            </c:ext>
            <c:ext xmlns:c16="http://schemas.microsoft.com/office/drawing/2014/chart" uri="{C3380CC4-5D6E-409C-BE32-E72D297353CC}">
              <c16:uniqueId val="{00000000-9F97-401B-944F-2E646FCADF6E}"/>
            </c:ext>
          </c:extLst>
        </c:ser>
        <c:ser>
          <c:idx val="1"/>
          <c:order val="1"/>
          <c:spPr>
            <a:solidFill>
              <a:srgbClr val="666699"/>
            </a:solidFill>
            <a:ln w="12700">
              <a:solidFill>
                <a:srgbClr val="000000"/>
              </a:solidFill>
              <a:prstDash val="solid"/>
            </a:ln>
          </c:spPr>
          <c:val>
            <c:numRef>
              <c:f>'Macintosh HD:Users:timmeko:projects:TPC-styleguide:excel files:[bar.xls]Graph'!#REF!</c:f>
              <c:numCache>
                <c:formatCode>General</c:formatCode>
                <c:ptCount val="31"/>
                <c:pt idx="0">
                  <c:v>1.1491199999999999</c:v>
                </c:pt>
                <c:pt idx="1">
                  <c:v>1.102608</c:v>
                </c:pt>
                <c:pt idx="2">
                  <c:v>1.0560959999999999</c:v>
                </c:pt>
                <c:pt idx="3">
                  <c:v>1.009584</c:v>
                </c:pt>
                <c:pt idx="4">
                  <c:v>0.96307200000000004</c:v>
                </c:pt>
                <c:pt idx="5">
                  <c:v>0.91656000000000004</c:v>
                </c:pt>
                <c:pt idx="6">
                  <c:v>0.87004800000000004</c:v>
                </c:pt>
                <c:pt idx="7">
                  <c:v>0.82353600000000005</c:v>
                </c:pt>
                <c:pt idx="8">
                  <c:v>0.77702400000000005</c:v>
                </c:pt>
                <c:pt idx="9">
                  <c:v>0.73051200000000005</c:v>
                </c:pt>
                <c:pt idx="10">
                  <c:v>0.68400000000000005</c:v>
                </c:pt>
                <c:pt idx="11">
                  <c:v>0.99839999999999995</c:v>
                </c:pt>
                <c:pt idx="12">
                  <c:v>1.3128</c:v>
                </c:pt>
                <c:pt idx="13">
                  <c:v>1.6271999999999991</c:v>
                </c:pt>
                <c:pt idx="14">
                  <c:v>1.9415999999999991</c:v>
                </c:pt>
                <c:pt idx="15">
                  <c:v>2.2559999999999989</c:v>
                </c:pt>
                <c:pt idx="16">
                  <c:v>2.56</c:v>
                </c:pt>
                <c:pt idx="17">
                  <c:v>2.8639999999999999</c:v>
                </c:pt>
                <c:pt idx="18">
                  <c:v>3.1680000000000001</c:v>
                </c:pt>
                <c:pt idx="19">
                  <c:v>3.472</c:v>
                </c:pt>
                <c:pt idx="20">
                  <c:v>3.7510000000000021</c:v>
                </c:pt>
                <c:pt idx="21">
                  <c:v>4.2119999999999971</c:v>
                </c:pt>
                <c:pt idx="22">
                  <c:v>4.2549999999999999</c:v>
                </c:pt>
                <c:pt idx="23">
                  <c:v>2.4859999999999989</c:v>
                </c:pt>
                <c:pt idx="24">
                  <c:v>2.09</c:v>
                </c:pt>
                <c:pt idx="25">
                  <c:v>2.14</c:v>
                </c:pt>
                <c:pt idx="26">
                  <c:v>1.4559999999999991</c:v>
                </c:pt>
                <c:pt idx="27">
                  <c:v>4.3330000000000002</c:v>
                </c:pt>
                <c:pt idx="28">
                  <c:v>4.9324268774703546</c:v>
                </c:pt>
                <c:pt idx="29">
                  <c:v>1.122000000000001</c:v>
                </c:pt>
                <c:pt idx="30">
                  <c:v>1</c:v>
                </c:pt>
              </c:numCache>
            </c:numRef>
          </c:val>
          <c:extLst>
            <c:ext xmlns:c15="http://schemas.microsoft.com/office/drawing/2012/chart" uri="{02D57815-91ED-43cb-92C2-25804820EDAC}">
              <c15:filteredSeriesTitle>
                <c15:tx>
                  <c:strRef>
                    <c:extLst>
                      <c:ext uri="{02D57815-91ED-43cb-92C2-25804820EDAC}">
                        <c15:formulaRef>
                          <c15:sqref>'Macintosh HD:Users:timmeko:projects:TPC-styleguide:excel files:[bar.xls]Graph'!#REF!</c15:sqref>
                        </c15:formulaRef>
                      </c:ext>
                    </c:extLst>
                    <c:strCache>
                      <c:ptCount val="1"/>
                      <c:pt idx="0">
                        <c:v>Non-Refundable Element of EITC</c:v>
                      </c:pt>
                    </c:strCache>
                  </c:strRef>
                </c15:tx>
              </c15:filteredSeriesTitle>
            </c:ext>
            <c:ext xmlns:c15="http://schemas.microsoft.com/office/drawing/2012/chart" uri="{02D57815-91ED-43cb-92C2-25804820EDAC}">
              <c15:filteredCategoryTitle>
                <c15:cat>
                  <c:numRef>
                    <c:extLst>
                      <c:ext uri="{02D57815-91ED-43cb-92C2-25804820EDAC}">
                        <c15:formulaRef>
                          <c15:sqref>'Macintosh HD:Users:timmeko:projects:TPC-styleguide:excel files:[bar.xls]Graph'!#REF!</c15:sqref>
                        </c15:formulaRef>
                      </c:ext>
                    </c:extLst>
                    <c:numCache>
                      <c:formatCode>General</c:formatCode>
                      <c:ptCount val="3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9">
                        <c:v>2002</c:v>
                      </c:pt>
                      <c:pt idx="30">
                        <c:v>2003</c:v>
                      </c:pt>
                    </c:numCache>
                  </c:numRef>
                </c15:cat>
              </c15:filteredCategoryTitle>
            </c:ext>
            <c:ext xmlns:c16="http://schemas.microsoft.com/office/drawing/2014/chart" uri="{C3380CC4-5D6E-409C-BE32-E72D297353CC}">
              <c16:uniqueId val="{00000001-9F97-401B-944F-2E646FCADF6E}"/>
            </c:ext>
          </c:extLst>
        </c:ser>
        <c:ser>
          <c:idx val="2"/>
          <c:order val="2"/>
          <c:spPr>
            <a:solidFill>
              <a:srgbClr val="99CC00"/>
            </a:solidFill>
            <a:ln w="12700">
              <a:solidFill>
                <a:srgbClr val="000000"/>
              </a:solidFill>
              <a:prstDash val="solid"/>
            </a:ln>
          </c:spPr>
          <c:val>
            <c:numRef>
              <c:f>'Macintosh HD:Users:timmeko:projects:TPC-styleguide:excel files:[bar.xls]Graph'!#REF!</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0.56499999999999995</c:v>
                </c:pt>
                <c:pt idx="24">
                  <c:v>0.88</c:v>
                </c:pt>
                <c:pt idx="25">
                  <c:v>1.07</c:v>
                </c:pt>
                <c:pt idx="26">
                  <c:v>5.2</c:v>
                </c:pt>
                <c:pt idx="27">
                  <c:v>4.9950000000000001</c:v>
                </c:pt>
                <c:pt idx="28">
                  <c:v>5.6860079051383403</c:v>
                </c:pt>
                <c:pt idx="29">
                  <c:v>6.63</c:v>
                </c:pt>
                <c:pt idx="30">
                  <c:v>9.1</c:v>
                </c:pt>
              </c:numCache>
            </c:numRef>
          </c:val>
          <c:extLst>
            <c:ext xmlns:c15="http://schemas.microsoft.com/office/drawing/2012/chart" uri="{02D57815-91ED-43cb-92C2-25804820EDAC}">
              <c15:filteredSeriesTitle>
                <c15:tx>
                  <c:strRef>
                    <c:extLst>
                      <c:ext uri="{02D57815-91ED-43cb-92C2-25804820EDAC}">
                        <c15:formulaRef>
                          <c15:sqref>'Macintosh HD:Users:timmeko:projects:TPC-styleguide:excel files:[bar.xls]Graph'!#REF!</c15:sqref>
                        </c15:formulaRef>
                      </c:ext>
                    </c:extLst>
                    <c:strCache>
                      <c:ptCount val="1"/>
                      <c:pt idx="0">
                        <c:v>Refundable Element of CTC</c:v>
                      </c:pt>
                    </c:strCache>
                  </c:strRef>
                </c15:tx>
              </c15:filteredSeriesTitle>
            </c:ext>
            <c:ext xmlns:c15="http://schemas.microsoft.com/office/drawing/2012/chart" uri="{02D57815-91ED-43cb-92C2-25804820EDAC}">
              <c15:filteredCategoryTitle>
                <c15:cat>
                  <c:numRef>
                    <c:extLst>
                      <c:ext uri="{02D57815-91ED-43cb-92C2-25804820EDAC}">
                        <c15:formulaRef>
                          <c15:sqref>'Macintosh HD:Users:timmeko:projects:TPC-styleguide:excel files:[bar.xls]Graph'!#REF!</c15:sqref>
                        </c15:formulaRef>
                      </c:ext>
                    </c:extLst>
                    <c:numCache>
                      <c:formatCode>General</c:formatCode>
                      <c:ptCount val="3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9">
                        <c:v>2002</c:v>
                      </c:pt>
                      <c:pt idx="30">
                        <c:v>2003</c:v>
                      </c:pt>
                    </c:numCache>
                  </c:numRef>
                </c15:cat>
              </c15:filteredCategoryTitle>
            </c:ext>
            <c:ext xmlns:c16="http://schemas.microsoft.com/office/drawing/2014/chart" uri="{C3380CC4-5D6E-409C-BE32-E72D297353CC}">
              <c16:uniqueId val="{00000002-9F97-401B-944F-2E646FCADF6E}"/>
            </c:ext>
          </c:extLst>
        </c:ser>
        <c:ser>
          <c:idx val="3"/>
          <c:order val="3"/>
          <c:spPr>
            <a:solidFill>
              <a:srgbClr val="90713A"/>
            </a:solidFill>
            <a:ln w="12700">
              <a:solidFill>
                <a:srgbClr val="000000"/>
              </a:solidFill>
              <a:prstDash val="solid"/>
            </a:ln>
          </c:spPr>
          <c:val>
            <c:numRef>
              <c:f>'Macintosh HD:Users:timmeko:projects:TPC-styleguide:excel files:[bar.xls]Graph'!#REF!</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16.611000000000001</c:v>
                </c:pt>
                <c:pt idx="24">
                  <c:v>21.338487499999999</c:v>
                </c:pt>
                <c:pt idx="25">
                  <c:v>21.079000000000001</c:v>
                </c:pt>
                <c:pt idx="26">
                  <c:v>23.295999999999999</c:v>
                </c:pt>
                <c:pt idx="27">
                  <c:v>22.427</c:v>
                </c:pt>
                <c:pt idx="28">
                  <c:v>25.529549407114619</c:v>
                </c:pt>
                <c:pt idx="29">
                  <c:v>22.032</c:v>
                </c:pt>
                <c:pt idx="30">
                  <c:v>22.8</c:v>
                </c:pt>
              </c:numCache>
            </c:numRef>
          </c:val>
          <c:extLst>
            <c:ext xmlns:c15="http://schemas.microsoft.com/office/drawing/2012/chart" uri="{02D57815-91ED-43cb-92C2-25804820EDAC}">
              <c15:filteredSeriesTitle>
                <c15:tx>
                  <c:strRef>
                    <c:extLst>
                      <c:ext uri="{02D57815-91ED-43cb-92C2-25804820EDAC}">
                        <c15:formulaRef>
                          <c15:sqref>'Macintosh HD:Users:timmeko:projects:TPC-styleguide:excel files:[bar.xls]Graph'!#REF!</c15:sqref>
                        </c15:formulaRef>
                      </c:ext>
                    </c:extLst>
                    <c:strCache>
                      <c:ptCount val="1"/>
                      <c:pt idx="0">
                        <c:v>Non-Refundable Element of CTC</c:v>
                      </c:pt>
                    </c:strCache>
                  </c:strRef>
                </c15:tx>
              </c15:filteredSeriesTitle>
            </c:ext>
            <c:ext xmlns:c15="http://schemas.microsoft.com/office/drawing/2012/chart" uri="{02D57815-91ED-43cb-92C2-25804820EDAC}">
              <c15:filteredCategoryTitle>
                <c15:cat>
                  <c:numRef>
                    <c:extLst>
                      <c:ext uri="{02D57815-91ED-43cb-92C2-25804820EDAC}">
                        <c15:formulaRef>
                          <c15:sqref>'Macintosh HD:Users:timmeko:projects:TPC-styleguide:excel files:[bar.xls]Graph'!#REF!</c15:sqref>
                        </c15:formulaRef>
                      </c:ext>
                    </c:extLst>
                    <c:numCache>
                      <c:formatCode>General</c:formatCode>
                      <c:ptCount val="3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9">
                        <c:v>2002</c:v>
                      </c:pt>
                      <c:pt idx="30">
                        <c:v>2003</c:v>
                      </c:pt>
                    </c:numCache>
                  </c:numRef>
                </c15:cat>
              </c15:filteredCategoryTitle>
            </c:ext>
            <c:ext xmlns:c16="http://schemas.microsoft.com/office/drawing/2014/chart" uri="{C3380CC4-5D6E-409C-BE32-E72D297353CC}">
              <c16:uniqueId val="{00000003-9F97-401B-944F-2E646FCADF6E}"/>
            </c:ext>
          </c:extLst>
        </c:ser>
        <c:dLbls>
          <c:showLegendKey val="0"/>
          <c:showVal val="0"/>
          <c:showCatName val="0"/>
          <c:showSerName val="0"/>
          <c:showPercent val="0"/>
          <c:showBubbleSize val="0"/>
        </c:dLbls>
        <c:axId val="147852672"/>
        <c:axId val="147854464"/>
      </c:areaChart>
      <c:catAx>
        <c:axId val="1478526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a:pPr>
            <a:endParaRPr lang="en-US"/>
          </a:p>
        </c:txPr>
        <c:crossAx val="147854464"/>
        <c:crosses val="autoZero"/>
        <c:auto val="1"/>
        <c:lblAlgn val="ctr"/>
        <c:lblOffset val="100"/>
        <c:tickLblSkip val="5"/>
        <c:tickMarkSkip val="1"/>
        <c:noMultiLvlLbl val="0"/>
      </c:catAx>
      <c:valAx>
        <c:axId val="147854464"/>
        <c:scaling>
          <c:orientation val="minMax"/>
        </c:scaling>
        <c:delete val="0"/>
        <c:axPos val="l"/>
        <c:majorGridlines>
          <c:spPr>
            <a:ln w="3175">
              <a:solidFill>
                <a:schemeClr val="bg2">
                  <a:lumMod val="75000"/>
                </a:schemeClr>
              </a:solidFill>
              <a:prstDash val="solid"/>
            </a:ln>
          </c:spPr>
        </c:majorGridlines>
        <c:title>
          <c:tx>
            <c:rich>
              <a:bodyPr rot="0" vert="horz"/>
              <a:lstStyle/>
              <a:p>
                <a:pPr>
                  <a:defRPr sz="1000"/>
                </a:pPr>
                <a:r>
                  <a:rPr lang="en-US" sz="1000"/>
                  <a:t>Credits</a:t>
                </a:r>
                <a:r>
                  <a:rPr lang="en-US" sz="1000" baseline="0"/>
                  <a:t> (in b</a:t>
                </a:r>
                <a:r>
                  <a:rPr lang="en-US" sz="1000"/>
                  <a:t>illions of 2006 dollars)$</a:t>
                </a:r>
              </a:p>
            </c:rich>
          </c:tx>
          <c:layout>
            <c:manualLayout>
              <c:xMode val="edge"/>
              <c:yMode val="edge"/>
              <c:x val="0.13539018560179999"/>
              <c:y val="0.165485479087841"/>
            </c:manualLayout>
          </c:layout>
          <c:overlay val="0"/>
          <c:spPr>
            <a:noFill/>
            <a:ln w="25400">
              <a:noFill/>
            </a:ln>
          </c:spPr>
        </c:title>
        <c:numFmt formatCode="0" sourceLinked="0"/>
        <c:majorTickMark val="none"/>
        <c:minorTickMark val="none"/>
        <c:tickLblPos val="nextTo"/>
        <c:spPr>
          <a:ln w="3175">
            <a:solidFill>
              <a:srgbClr val="000000"/>
            </a:solidFill>
            <a:prstDash val="solid"/>
          </a:ln>
        </c:spPr>
        <c:txPr>
          <a:bodyPr rot="0" vert="horz"/>
          <a:lstStyle/>
          <a:p>
            <a:pPr>
              <a:defRPr/>
            </a:pPr>
            <a:endParaRPr lang="en-US"/>
          </a:p>
        </c:txPr>
        <c:crossAx val="147852672"/>
        <c:crosses val="autoZero"/>
        <c:crossBetween val="midCat"/>
        <c:majorUnit val="20"/>
        <c:minorUnit val="10"/>
      </c:valAx>
      <c:spPr>
        <a:solidFill>
          <a:srgbClr val="FFFFFF"/>
        </a:solidFill>
        <a:ln w="12700">
          <a:solidFill>
            <a:schemeClr val="bg2">
              <a:lumMod val="75000"/>
            </a:schemeClr>
          </a:solidFill>
          <a:prstDash val="solid"/>
        </a:ln>
      </c:spPr>
    </c:plotArea>
    <c:legend>
      <c:legendPos val="r"/>
      <c:overlay val="0"/>
      <c:spPr>
        <a:solidFill>
          <a:srgbClr val="FFFFFF"/>
        </a:solidFill>
        <a:ln w="3175">
          <a:solidFill>
            <a:srgbClr val="000000"/>
          </a:solidFill>
          <a:prstDash val="solid"/>
        </a:ln>
      </c:spPr>
    </c:legend>
    <c:plotVisOnly val="1"/>
    <c:dispBlanksAs val="zero"/>
    <c:showDLblsOverMax val="0"/>
  </c:chart>
  <c:spPr>
    <a:noFill/>
    <a:ln w="9525">
      <a:noFill/>
    </a:ln>
  </c:spPr>
  <c:txPr>
    <a:bodyPr/>
    <a:lstStyle/>
    <a:p>
      <a:pPr>
        <a:defRPr sz="1400" b="0" i="0" u="none" strike="noStrike" baseline="0">
          <a:solidFill>
            <a:srgbClr val="000000"/>
          </a:solidFill>
          <a:latin typeface="Arial"/>
          <a:ea typeface="Arial"/>
          <a:cs typeface="Arial"/>
        </a:defRPr>
      </a:pPr>
      <a:endParaRPr lang="en-US"/>
    </a:p>
  </c:txPr>
  <c:printSettings>
    <c:headerFooter/>
    <c:pageMargins b="1" l="0.75" r="0.75"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914141414141419E-3"/>
          <c:y val="0.1949702067998598"/>
          <c:w val="0.97327441077441079"/>
          <c:h val="0.67910970907816337"/>
        </c:manualLayout>
      </c:layout>
      <c:areaChart>
        <c:grouping val="stacked"/>
        <c:varyColors val="0"/>
        <c:ser>
          <c:idx val="0"/>
          <c:order val="0"/>
          <c:tx>
            <c:strRef>
              <c:f>Area!$B$4</c:f>
              <c:strCache>
                <c:ptCount val="1"/>
                <c:pt idx="0">
                  <c:v>Refundable Element of EITC</c:v>
                </c:pt>
              </c:strCache>
            </c:strRef>
          </c:tx>
          <c:spPr>
            <a:solidFill>
              <a:srgbClr val="0E2B35"/>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Area!$B$5:$B$36</c:f>
              <c:numCache>
                <c:formatCode>0</c:formatCode>
                <c:ptCount val="32"/>
                <c:pt idx="0">
                  <c:v>3.3724907063197027</c:v>
                </c:pt>
                <c:pt idx="1">
                  <c:v>3.1533216168717049</c:v>
                </c:pt>
                <c:pt idx="2">
                  <c:v>2.9275247524752475</c:v>
                </c:pt>
                <c:pt idx="3">
                  <c:v>2.4767116564417173</c:v>
                </c:pt>
                <c:pt idx="4">
                  <c:v>3.8737190082644628</c:v>
                </c:pt>
                <c:pt idx="5">
                  <c:v>3.3518446601941743</c:v>
                </c:pt>
                <c:pt idx="6">
                  <c:v>2.8343762376237618</c:v>
                </c:pt>
                <c:pt idx="7">
                  <c:v>2.5529036269430052</c:v>
                </c:pt>
                <c:pt idx="8">
                  <c:v>2.6090602409638555</c:v>
                </c:pt>
                <c:pt idx="9">
                  <c:v>2.2546602502406157</c:v>
                </c:pt>
                <c:pt idx="10">
                  <c:v>2.8085353159851301</c:v>
                </c:pt>
                <c:pt idx="11">
                  <c:v>2.720496350364964</c:v>
                </c:pt>
                <c:pt idx="12">
                  <c:v>5.199718309859156</c:v>
                </c:pt>
                <c:pt idx="13">
                  <c:v>7.2545325443786979</c:v>
                </c:pt>
                <c:pt idx="14">
                  <c:v>7.5372387096774203</c:v>
                </c:pt>
                <c:pt idx="15">
                  <c:v>8.1226136189747518</c:v>
                </c:pt>
                <c:pt idx="16">
                  <c:v>12.112281938325992</c:v>
                </c:pt>
                <c:pt idx="17">
                  <c:v>14.310295081967212</c:v>
                </c:pt>
                <c:pt idx="18">
                  <c:v>16.780932871972318</c:v>
                </c:pt>
                <c:pt idx="19">
                  <c:v>22.578655870445345</c:v>
                </c:pt>
                <c:pt idx="20">
                  <c:v>27.553322834645666</c:v>
                </c:pt>
                <c:pt idx="21">
                  <c:v>29.754309751434029</c:v>
                </c:pt>
                <c:pt idx="22">
                  <c:v>30.6432</c:v>
                </c:pt>
                <c:pt idx="23">
                  <c:v>33.610306748466257</c:v>
                </c:pt>
                <c:pt idx="24">
                  <c:v>33.403159663865544</c:v>
                </c:pt>
                <c:pt idx="25">
                  <c:v>32.549853658536584</c:v>
                </c:pt>
                <c:pt idx="26">
                  <c:v>33.060806324110672</c:v>
                </c:pt>
                <c:pt idx="27">
                  <c:v>37.806443579766537</c:v>
                </c:pt>
                <c:pt idx="28">
                  <c:v>37.265321739130435</c:v>
                </c:pt>
                <c:pt idx="29">
                  <c:v>37.673266278454207</c:v>
                </c:pt>
                <c:pt idx="30">
                  <c:v>38.673548387096773</c:v>
                </c:pt>
                <c:pt idx="31">
                  <c:v>39.072222000000004</c:v>
                </c:pt>
              </c:numCache>
            </c:numRef>
          </c:val>
          <c:extLst>
            <c:ext xmlns:c16="http://schemas.microsoft.com/office/drawing/2014/chart" uri="{C3380CC4-5D6E-409C-BE32-E72D297353CC}">
              <c16:uniqueId val="{00000000-DF71-4D1A-9BAA-B3595641D3F8}"/>
            </c:ext>
          </c:extLst>
        </c:ser>
        <c:ser>
          <c:idx val="1"/>
          <c:order val="1"/>
          <c:tx>
            <c:strRef>
              <c:f>Area!$C$4</c:f>
              <c:strCache>
                <c:ptCount val="1"/>
                <c:pt idx="0">
                  <c:v>Non-Refundable Element of EITC</c:v>
                </c:pt>
              </c:strCache>
            </c:strRef>
          </c:tx>
          <c:spPr>
            <a:solidFill>
              <a:srgbClr val="1D5669"/>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Area!$C$5:$C$36</c:f>
              <c:numCache>
                <c:formatCode>0</c:formatCode>
                <c:ptCount val="32"/>
                <c:pt idx="0">
                  <c:v>1.3115241635687733</c:v>
                </c:pt>
                <c:pt idx="1">
                  <c:v>1.43493848857645</c:v>
                </c:pt>
                <c:pt idx="2">
                  <c:v>0.82170297029702954</c:v>
                </c:pt>
                <c:pt idx="3">
                  <c:v>0.76373006134969323</c:v>
                </c:pt>
                <c:pt idx="4">
                  <c:v>1.8243966942148762</c:v>
                </c:pt>
                <c:pt idx="5">
                  <c:v>1.5071067961165048</c:v>
                </c:pt>
                <c:pt idx="6">
                  <c:v>1.40609900990099</c:v>
                </c:pt>
                <c:pt idx="7">
                  <c:v>1.1552829015544042</c:v>
                </c:pt>
                <c:pt idx="8">
                  <c:v>1.0241927710843375</c:v>
                </c:pt>
                <c:pt idx="9">
                  <c:v>0.92359576515880659</c:v>
                </c:pt>
                <c:pt idx="10">
                  <c:v>1.1035539033457251</c:v>
                </c:pt>
                <c:pt idx="11">
                  <c:v>0.974890510948905</c:v>
                </c:pt>
                <c:pt idx="12">
                  <c:v>0.81811267605633808</c:v>
                </c:pt>
                <c:pt idx="13">
                  <c:v>2.7930887573964496</c:v>
                </c:pt>
                <c:pt idx="14">
                  <c:v>3.1849548387096775</c:v>
                </c:pt>
                <c:pt idx="15">
                  <c:v>3.5106472838561591</c:v>
                </c:pt>
                <c:pt idx="16">
                  <c:v>4.3250748898678424</c:v>
                </c:pt>
                <c:pt idx="17">
                  <c:v>4.4099101924447606</c:v>
                </c:pt>
                <c:pt idx="18">
                  <c:v>4.8956013840830446</c:v>
                </c:pt>
                <c:pt idx="19">
                  <c:v>6.1309797570850204</c:v>
                </c:pt>
                <c:pt idx="20">
                  <c:v>6.7821732283464549</c:v>
                </c:pt>
                <c:pt idx="21">
                  <c:v>7.2827839388145312</c:v>
                </c:pt>
                <c:pt idx="22">
                  <c:v>7.5276560747663552</c:v>
                </c:pt>
                <c:pt idx="23">
                  <c:v>6.3881226993865026</c:v>
                </c:pt>
                <c:pt idx="24">
                  <c:v>5.1997310924369753</c:v>
                </c:pt>
                <c:pt idx="25">
                  <c:v>5.26009756097561</c:v>
                </c:pt>
                <c:pt idx="26">
                  <c:v>4.9324268774703564</c:v>
                </c:pt>
                <c:pt idx="27">
                  <c:v>5.0002178988326849</c:v>
                </c:pt>
                <c:pt idx="28">
                  <c:v>5.0893043478260873</c:v>
                </c:pt>
                <c:pt idx="29">
                  <c:v>5.0416008470089988</c:v>
                </c:pt>
                <c:pt idx="30">
                  <c:v>5.1045161290322572</c:v>
                </c:pt>
                <c:pt idx="31">
                  <c:v>5.315343999999997</c:v>
                </c:pt>
              </c:numCache>
            </c:numRef>
          </c:val>
          <c:extLst>
            <c:ext xmlns:c16="http://schemas.microsoft.com/office/drawing/2014/chart" uri="{C3380CC4-5D6E-409C-BE32-E72D297353CC}">
              <c16:uniqueId val="{00000001-DF71-4D1A-9BAA-B3595641D3F8}"/>
            </c:ext>
          </c:extLst>
        </c:ser>
        <c:ser>
          <c:idx val="2"/>
          <c:order val="2"/>
          <c:tx>
            <c:strRef>
              <c:f>Area!$D$4</c:f>
              <c:strCache>
                <c:ptCount val="1"/>
                <c:pt idx="0">
                  <c:v>Refundable Element of CTC</c:v>
                </c:pt>
              </c:strCache>
            </c:strRef>
          </c:tx>
          <c:spPr>
            <a:solidFill>
              <a:srgbClr val="008BB0"/>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Area!$D$5:$D$36</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0.98307710924369762</c:v>
                </c:pt>
                <c:pt idx="25">
                  <c:v>1.1445553170731708</c:v>
                </c:pt>
                <c:pt idx="26">
                  <c:v>5.6858678893280636</c:v>
                </c:pt>
                <c:pt idx="27">
                  <c:v>7.1896376031128399</c:v>
                </c:pt>
                <c:pt idx="28">
                  <c:v>9.9843670956521748</c:v>
                </c:pt>
                <c:pt idx="29">
                  <c:v>15.421513130757015</c:v>
                </c:pt>
                <c:pt idx="30">
                  <c:v>15.995003870967739</c:v>
                </c:pt>
                <c:pt idx="31">
                  <c:v>16.248888999999998</c:v>
                </c:pt>
              </c:numCache>
            </c:numRef>
          </c:val>
          <c:extLst>
            <c:ext xmlns:c16="http://schemas.microsoft.com/office/drawing/2014/chart" uri="{C3380CC4-5D6E-409C-BE32-E72D297353CC}">
              <c16:uniqueId val="{00000002-DF71-4D1A-9BAA-B3595641D3F8}"/>
            </c:ext>
          </c:extLst>
        </c:ser>
        <c:ser>
          <c:idx val="3"/>
          <c:order val="3"/>
          <c:tx>
            <c:strRef>
              <c:f>Area!$E$4</c:f>
              <c:strCache>
                <c:ptCount val="1"/>
                <c:pt idx="0">
                  <c:v>Non-Refundable Element of CTC</c:v>
                </c:pt>
              </c:strCache>
            </c:strRef>
          </c:tx>
          <c:spPr>
            <a:solidFill>
              <a:srgbClr val="75ADC0"/>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Area!$E$5:$E$36</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18.72958986993865</c:v>
                </c:pt>
                <c:pt idx="24">
                  <c:v>23.473966386554622</c:v>
                </c:pt>
                <c:pt idx="25">
                  <c:v>23.05095687804878</c:v>
                </c:pt>
                <c:pt idx="26">
                  <c:v>25.52981008695652</c:v>
                </c:pt>
                <c:pt idx="27">
                  <c:v>24.116101354085597</c:v>
                </c:pt>
                <c:pt idx="28">
                  <c:v>24.967749130434783</c:v>
                </c:pt>
                <c:pt idx="29">
                  <c:v>34.472057850714663</c:v>
                </c:pt>
                <c:pt idx="30">
                  <c:v>33.081414193548383</c:v>
                </c:pt>
                <c:pt idx="31">
                  <c:v>31.741550999999998</c:v>
                </c:pt>
              </c:numCache>
            </c:numRef>
          </c:val>
          <c:extLst>
            <c:ext xmlns:c16="http://schemas.microsoft.com/office/drawing/2014/chart" uri="{C3380CC4-5D6E-409C-BE32-E72D297353CC}">
              <c16:uniqueId val="{00000003-DF71-4D1A-9BAA-B3595641D3F8}"/>
            </c:ext>
          </c:extLst>
        </c:ser>
        <c:dLbls>
          <c:showLegendKey val="0"/>
          <c:showVal val="0"/>
          <c:showCatName val="0"/>
          <c:showSerName val="0"/>
          <c:showPercent val="0"/>
          <c:showBubbleSize val="0"/>
        </c:dLbls>
        <c:axId val="526157615"/>
        <c:axId val="526165775"/>
      </c:areaChart>
      <c:catAx>
        <c:axId val="526157615"/>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65775"/>
        <c:crosses val="autoZero"/>
        <c:auto val="1"/>
        <c:lblAlgn val="ctr"/>
        <c:lblOffset val="100"/>
        <c:noMultiLvlLbl val="0"/>
      </c:catAx>
      <c:valAx>
        <c:axId val="526165775"/>
        <c:scaling>
          <c:orientation val="minMax"/>
        </c:scaling>
        <c:delete val="0"/>
        <c:axPos val="l"/>
        <c:majorGridlines>
          <c:spPr>
            <a:ln w="12700" cap="flat" cmpd="sng" algn="ctr">
              <a:solidFill>
                <a:srgbClr val="DDDDDD"/>
              </a:solidFill>
              <a:prstDash val="solid"/>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57615"/>
        <c:crosses val="autoZero"/>
        <c:crossBetween val="midCat"/>
      </c:valAx>
      <c:spPr>
        <a:noFill/>
        <a:ln>
          <a:noFill/>
        </a:ln>
        <a:effectLst/>
      </c:spPr>
    </c:plotArea>
    <c:legend>
      <c:legendPos val="b"/>
      <c:layout>
        <c:manualLayout>
          <c:xMode val="edge"/>
          <c:yMode val="edge"/>
          <c:x val="0.31747283365147549"/>
          <c:y val="0.10734314756396775"/>
          <c:w val="0.50598918979824492"/>
          <c:h val="8.4313100452348827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0359235398605477E-2"/>
          <c:y val="0.2104527697050487"/>
          <c:w val="0.74010404239242822"/>
          <c:h val="0.58085493650833075"/>
        </c:manualLayout>
      </c:layout>
      <c:areaChart>
        <c:grouping val="stacked"/>
        <c:varyColors val="0"/>
        <c:ser>
          <c:idx val="0"/>
          <c:order val="0"/>
          <c:tx>
            <c:strRef>
              <c:f>Area!$B$4</c:f>
              <c:strCache>
                <c:ptCount val="1"/>
                <c:pt idx="0">
                  <c:v>Refundable Element of EITC</c:v>
                </c:pt>
              </c:strCache>
            </c:strRef>
          </c:tx>
          <c:spPr>
            <a:solidFill>
              <a:srgbClr val="174A7C"/>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Area!$B$5:$B$36</c:f>
              <c:numCache>
                <c:formatCode>0</c:formatCode>
                <c:ptCount val="32"/>
                <c:pt idx="0">
                  <c:v>3.3724907063197027</c:v>
                </c:pt>
                <c:pt idx="1">
                  <c:v>3.1533216168717049</c:v>
                </c:pt>
                <c:pt idx="2">
                  <c:v>2.9275247524752475</c:v>
                </c:pt>
                <c:pt idx="3">
                  <c:v>2.4767116564417173</c:v>
                </c:pt>
                <c:pt idx="4">
                  <c:v>3.8737190082644628</c:v>
                </c:pt>
                <c:pt idx="5">
                  <c:v>3.3518446601941743</c:v>
                </c:pt>
                <c:pt idx="6">
                  <c:v>2.8343762376237618</c:v>
                </c:pt>
                <c:pt idx="7">
                  <c:v>2.5529036269430052</c:v>
                </c:pt>
                <c:pt idx="8">
                  <c:v>2.6090602409638555</c:v>
                </c:pt>
                <c:pt idx="9">
                  <c:v>2.2546602502406157</c:v>
                </c:pt>
                <c:pt idx="10">
                  <c:v>2.8085353159851301</c:v>
                </c:pt>
                <c:pt idx="11">
                  <c:v>2.720496350364964</c:v>
                </c:pt>
                <c:pt idx="12">
                  <c:v>5.199718309859156</c:v>
                </c:pt>
                <c:pt idx="13">
                  <c:v>7.2545325443786979</c:v>
                </c:pt>
                <c:pt idx="14">
                  <c:v>7.5372387096774203</c:v>
                </c:pt>
                <c:pt idx="15">
                  <c:v>8.1226136189747518</c:v>
                </c:pt>
                <c:pt idx="16">
                  <c:v>12.112281938325992</c:v>
                </c:pt>
                <c:pt idx="17">
                  <c:v>14.310295081967212</c:v>
                </c:pt>
                <c:pt idx="18">
                  <c:v>16.780932871972318</c:v>
                </c:pt>
                <c:pt idx="19">
                  <c:v>22.578655870445345</c:v>
                </c:pt>
                <c:pt idx="20">
                  <c:v>27.553322834645666</c:v>
                </c:pt>
                <c:pt idx="21">
                  <c:v>29.754309751434029</c:v>
                </c:pt>
                <c:pt idx="22">
                  <c:v>30.6432</c:v>
                </c:pt>
                <c:pt idx="23">
                  <c:v>33.610306748466257</c:v>
                </c:pt>
                <c:pt idx="24">
                  <c:v>33.403159663865544</c:v>
                </c:pt>
                <c:pt idx="25">
                  <c:v>32.549853658536584</c:v>
                </c:pt>
                <c:pt idx="26">
                  <c:v>33.060806324110672</c:v>
                </c:pt>
                <c:pt idx="27">
                  <c:v>37.806443579766537</c:v>
                </c:pt>
                <c:pt idx="28">
                  <c:v>37.265321739130435</c:v>
                </c:pt>
                <c:pt idx="29">
                  <c:v>37.673266278454207</c:v>
                </c:pt>
                <c:pt idx="30">
                  <c:v>38.673548387096773</c:v>
                </c:pt>
                <c:pt idx="31">
                  <c:v>39.072222000000004</c:v>
                </c:pt>
              </c:numCache>
            </c:numRef>
          </c:val>
          <c:extLst>
            <c:ext xmlns:c16="http://schemas.microsoft.com/office/drawing/2014/chart" uri="{C3380CC4-5D6E-409C-BE32-E72D297353CC}">
              <c16:uniqueId val="{00000000-3FFD-4CA1-BD98-AA2B750F2D05}"/>
            </c:ext>
          </c:extLst>
        </c:ser>
        <c:ser>
          <c:idx val="1"/>
          <c:order val="1"/>
          <c:tx>
            <c:strRef>
              <c:f>Area!$C$4</c:f>
              <c:strCache>
                <c:ptCount val="1"/>
                <c:pt idx="0">
                  <c:v>Non-Refundable Element of EITC</c:v>
                </c:pt>
              </c:strCache>
            </c:strRef>
          </c:tx>
          <c:spPr>
            <a:solidFill>
              <a:srgbClr val="008BB0"/>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Area!$C$5:$C$36</c:f>
              <c:numCache>
                <c:formatCode>0</c:formatCode>
                <c:ptCount val="32"/>
                <c:pt idx="0">
                  <c:v>1.3115241635687733</c:v>
                </c:pt>
                <c:pt idx="1">
                  <c:v>1.43493848857645</c:v>
                </c:pt>
                <c:pt idx="2">
                  <c:v>0.82170297029702954</c:v>
                </c:pt>
                <c:pt idx="3">
                  <c:v>0.76373006134969323</c:v>
                </c:pt>
                <c:pt idx="4">
                  <c:v>1.8243966942148762</c:v>
                </c:pt>
                <c:pt idx="5">
                  <c:v>1.5071067961165048</c:v>
                </c:pt>
                <c:pt idx="6">
                  <c:v>1.40609900990099</c:v>
                </c:pt>
                <c:pt idx="7">
                  <c:v>1.1552829015544042</c:v>
                </c:pt>
                <c:pt idx="8">
                  <c:v>1.0241927710843375</c:v>
                </c:pt>
                <c:pt idx="9">
                  <c:v>0.92359576515880659</c:v>
                </c:pt>
                <c:pt idx="10">
                  <c:v>1.1035539033457251</c:v>
                </c:pt>
                <c:pt idx="11">
                  <c:v>0.974890510948905</c:v>
                </c:pt>
                <c:pt idx="12">
                  <c:v>0.81811267605633808</c:v>
                </c:pt>
                <c:pt idx="13">
                  <c:v>2.7930887573964496</c:v>
                </c:pt>
                <c:pt idx="14">
                  <c:v>3.1849548387096775</c:v>
                </c:pt>
                <c:pt idx="15">
                  <c:v>3.5106472838561591</c:v>
                </c:pt>
                <c:pt idx="16">
                  <c:v>4.3250748898678424</c:v>
                </c:pt>
                <c:pt idx="17">
                  <c:v>4.4099101924447606</c:v>
                </c:pt>
                <c:pt idx="18">
                  <c:v>4.8956013840830446</c:v>
                </c:pt>
                <c:pt idx="19">
                  <c:v>6.1309797570850204</c:v>
                </c:pt>
                <c:pt idx="20">
                  <c:v>6.7821732283464549</c:v>
                </c:pt>
                <c:pt idx="21">
                  <c:v>7.2827839388145312</c:v>
                </c:pt>
                <c:pt idx="22">
                  <c:v>7.5276560747663552</c:v>
                </c:pt>
                <c:pt idx="23">
                  <c:v>6.3881226993865026</c:v>
                </c:pt>
                <c:pt idx="24">
                  <c:v>5.1997310924369753</c:v>
                </c:pt>
                <c:pt idx="25">
                  <c:v>5.26009756097561</c:v>
                </c:pt>
                <c:pt idx="26">
                  <c:v>4.9324268774703564</c:v>
                </c:pt>
                <c:pt idx="27">
                  <c:v>5.0002178988326849</c:v>
                </c:pt>
                <c:pt idx="28">
                  <c:v>5.0893043478260873</c:v>
                </c:pt>
                <c:pt idx="29">
                  <c:v>5.0416008470089988</c:v>
                </c:pt>
                <c:pt idx="30">
                  <c:v>5.1045161290322572</c:v>
                </c:pt>
                <c:pt idx="31">
                  <c:v>5.315343999999997</c:v>
                </c:pt>
              </c:numCache>
            </c:numRef>
          </c:val>
          <c:extLst>
            <c:ext xmlns:c16="http://schemas.microsoft.com/office/drawing/2014/chart" uri="{C3380CC4-5D6E-409C-BE32-E72D297353CC}">
              <c16:uniqueId val="{00000001-3FFD-4CA1-BD98-AA2B750F2D05}"/>
            </c:ext>
          </c:extLst>
        </c:ser>
        <c:ser>
          <c:idx val="2"/>
          <c:order val="2"/>
          <c:tx>
            <c:strRef>
              <c:f>Area!$D$4</c:f>
              <c:strCache>
                <c:ptCount val="1"/>
                <c:pt idx="0">
                  <c:v>Refundable Element of CTC</c:v>
                </c:pt>
              </c:strCache>
            </c:strRef>
          </c:tx>
          <c:spPr>
            <a:solidFill>
              <a:srgbClr val="5C5859"/>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Area!$D$5:$D$36</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0.98307710924369762</c:v>
                </c:pt>
                <c:pt idx="25">
                  <c:v>1.1445553170731708</c:v>
                </c:pt>
                <c:pt idx="26">
                  <c:v>5.6858678893280636</c:v>
                </c:pt>
                <c:pt idx="27">
                  <c:v>7.1896376031128399</c:v>
                </c:pt>
                <c:pt idx="28">
                  <c:v>9.9843670956521748</c:v>
                </c:pt>
                <c:pt idx="29">
                  <c:v>15.421513130757015</c:v>
                </c:pt>
                <c:pt idx="30">
                  <c:v>15.995003870967739</c:v>
                </c:pt>
                <c:pt idx="31">
                  <c:v>16.248888999999998</c:v>
                </c:pt>
              </c:numCache>
            </c:numRef>
          </c:val>
          <c:extLst>
            <c:ext xmlns:c16="http://schemas.microsoft.com/office/drawing/2014/chart" uri="{C3380CC4-5D6E-409C-BE32-E72D297353CC}">
              <c16:uniqueId val="{00000002-3FFD-4CA1-BD98-AA2B750F2D05}"/>
            </c:ext>
          </c:extLst>
        </c:ser>
        <c:ser>
          <c:idx val="3"/>
          <c:order val="3"/>
          <c:tx>
            <c:strRef>
              <c:f>Area!$E$4</c:f>
              <c:strCache>
                <c:ptCount val="1"/>
                <c:pt idx="0">
                  <c:v>Non-Refundable Element of CTC</c:v>
                </c:pt>
              </c:strCache>
            </c:strRef>
          </c:tx>
          <c:spPr>
            <a:solidFill>
              <a:srgbClr val="BCBEC0"/>
            </a:solidFill>
            <a:ln>
              <a:noFill/>
            </a:ln>
            <a:effectLst/>
          </c:spPr>
          <c:cat>
            <c:numRef>
              <c:f>Area!$A$5:$A$36</c:f>
              <c:numCache>
                <c:formatCode>General</c:formatCode>
                <c:ptCount val="32"/>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numCache>
            </c:numRef>
          </c:cat>
          <c:val>
            <c:numRef>
              <c:f>Area!$E$5:$E$36</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18.72958986993865</c:v>
                </c:pt>
                <c:pt idx="24">
                  <c:v>23.473966386554622</c:v>
                </c:pt>
                <c:pt idx="25">
                  <c:v>23.05095687804878</c:v>
                </c:pt>
                <c:pt idx="26">
                  <c:v>25.52981008695652</c:v>
                </c:pt>
                <c:pt idx="27">
                  <c:v>24.116101354085597</c:v>
                </c:pt>
                <c:pt idx="28">
                  <c:v>24.967749130434783</c:v>
                </c:pt>
                <c:pt idx="29">
                  <c:v>34.472057850714663</c:v>
                </c:pt>
                <c:pt idx="30">
                  <c:v>33.081414193548383</c:v>
                </c:pt>
                <c:pt idx="31">
                  <c:v>31.741550999999998</c:v>
                </c:pt>
              </c:numCache>
            </c:numRef>
          </c:val>
          <c:extLst>
            <c:ext xmlns:c16="http://schemas.microsoft.com/office/drawing/2014/chart" uri="{C3380CC4-5D6E-409C-BE32-E72D297353CC}">
              <c16:uniqueId val="{00000003-3FFD-4CA1-BD98-AA2B750F2D05}"/>
            </c:ext>
          </c:extLst>
        </c:ser>
        <c:dLbls>
          <c:showLegendKey val="0"/>
          <c:showVal val="0"/>
          <c:showCatName val="0"/>
          <c:showSerName val="0"/>
          <c:showPercent val="0"/>
          <c:showBubbleSize val="0"/>
        </c:dLbls>
        <c:axId val="526157615"/>
        <c:axId val="526165775"/>
      </c:areaChart>
      <c:catAx>
        <c:axId val="526157615"/>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65775"/>
        <c:crosses val="autoZero"/>
        <c:auto val="1"/>
        <c:lblAlgn val="ctr"/>
        <c:lblOffset val="100"/>
        <c:noMultiLvlLbl val="0"/>
      </c:catAx>
      <c:valAx>
        <c:axId val="526165775"/>
        <c:scaling>
          <c:orientation val="minMax"/>
        </c:scaling>
        <c:delete val="0"/>
        <c:axPos val="l"/>
        <c:majorGridlines>
          <c:spPr>
            <a:ln w="12700" cap="flat" cmpd="sng" algn="ctr">
              <a:solidFill>
                <a:srgbClr val="DDDDDD"/>
              </a:solidFill>
              <a:prstDash val="solid"/>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57615"/>
        <c:crosses val="autoZero"/>
        <c:crossBetween val="midCat"/>
      </c:valAx>
      <c:spPr>
        <a:noFill/>
        <a:ln>
          <a:noFill/>
        </a:ln>
        <a:effectLst/>
      </c:spPr>
    </c:plotArea>
    <c:legend>
      <c:legendPos val="l"/>
      <c:layout>
        <c:manualLayout>
          <c:xMode val="edge"/>
          <c:yMode val="edge"/>
          <c:x val="0.81676136363636365"/>
          <c:y val="0.25029082523990492"/>
          <c:w val="0.18197186762639517"/>
          <c:h val="0.38550317251353045"/>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914141414141419E-3"/>
          <c:y val="0.1949702067998598"/>
          <c:w val="0.97327441077441079"/>
          <c:h val="0.67910970907816337"/>
        </c:manualLayout>
      </c:layout>
      <c:areaChart>
        <c:grouping val="stacked"/>
        <c:varyColors val="0"/>
        <c:ser>
          <c:idx val="0"/>
          <c:order val="0"/>
          <c:tx>
            <c:strRef>
              <c:f>'Area and Line'!$B$11</c:f>
              <c:strCache>
                <c:ptCount val="1"/>
                <c:pt idx="0">
                  <c:v>Social Security</c:v>
                </c:pt>
              </c:strCache>
            </c:strRef>
          </c:tx>
          <c:spPr>
            <a:solidFill>
              <a:srgbClr val="174A7C"/>
            </a:solidFill>
            <a:ln>
              <a:noFill/>
            </a:ln>
            <a:effectLst/>
          </c:spPr>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Line'!$B$12:$B$80</c:f>
              <c:numCache>
                <c:formatCode>0</c:formatCode>
                <c:ptCount val="69"/>
                <c:pt idx="0">
                  <c:v>2.5</c:v>
                </c:pt>
                <c:pt idx="1">
                  <c:v>2.6</c:v>
                </c:pt>
                <c:pt idx="2">
                  <c:v>2.5</c:v>
                </c:pt>
                <c:pt idx="3">
                  <c:v>2.6</c:v>
                </c:pt>
                <c:pt idx="4">
                  <c:v>2.6</c:v>
                </c:pt>
                <c:pt idx="5">
                  <c:v>2.6</c:v>
                </c:pt>
                <c:pt idx="6">
                  <c:v>2.8</c:v>
                </c:pt>
                <c:pt idx="7">
                  <c:v>2.8</c:v>
                </c:pt>
                <c:pt idx="8">
                  <c:v>3.1</c:v>
                </c:pt>
                <c:pt idx="9">
                  <c:v>3.4</c:v>
                </c:pt>
                <c:pt idx="10">
                  <c:v>3.4</c:v>
                </c:pt>
                <c:pt idx="11">
                  <c:v>3.8</c:v>
                </c:pt>
                <c:pt idx="12">
                  <c:v>4</c:v>
                </c:pt>
                <c:pt idx="13">
                  <c:v>4.2</c:v>
                </c:pt>
                <c:pt idx="14">
                  <c:v>4.2</c:v>
                </c:pt>
                <c:pt idx="15">
                  <c:v>4.2</c:v>
                </c:pt>
                <c:pt idx="16">
                  <c:v>4.0999999999999996</c:v>
                </c:pt>
                <c:pt idx="17">
                  <c:v>4.0999999999999996</c:v>
                </c:pt>
                <c:pt idx="18">
                  <c:v>4.4000000000000004</c:v>
                </c:pt>
                <c:pt idx="19">
                  <c:v>4.5999999999999996</c:v>
                </c:pt>
                <c:pt idx="20">
                  <c:v>4.9000000000000004</c:v>
                </c:pt>
                <c:pt idx="21">
                  <c:v>4.8</c:v>
                </c:pt>
                <c:pt idx="22">
                  <c:v>4.5</c:v>
                </c:pt>
                <c:pt idx="23">
                  <c:v>4.5</c:v>
                </c:pt>
                <c:pt idx="24">
                  <c:v>4.5</c:v>
                </c:pt>
                <c:pt idx="25">
                  <c:v>4.4000000000000004</c:v>
                </c:pt>
                <c:pt idx="26">
                  <c:v>4.3</c:v>
                </c:pt>
                <c:pt idx="27">
                  <c:v>4.3</c:v>
                </c:pt>
                <c:pt idx="28">
                  <c:v>4.3</c:v>
                </c:pt>
                <c:pt idx="29">
                  <c:v>4.5</c:v>
                </c:pt>
                <c:pt idx="30">
                  <c:v>4.5999999999999996</c:v>
                </c:pt>
                <c:pt idx="31">
                  <c:v>4.5999999999999996</c:v>
                </c:pt>
                <c:pt idx="32">
                  <c:v>4.5</c:v>
                </c:pt>
                <c:pt idx="33">
                  <c:v>4.5999999999999996</c:v>
                </c:pt>
                <c:pt idx="34">
                  <c:v>4.5</c:v>
                </c:pt>
                <c:pt idx="35">
                  <c:v>4.4000000000000004</c:v>
                </c:pt>
                <c:pt idx="36">
                  <c:v>4.3</c:v>
                </c:pt>
                <c:pt idx="37">
                  <c:v>4.2</c:v>
                </c:pt>
                <c:pt idx="38">
                  <c:v>4.2</c:v>
                </c:pt>
                <c:pt idx="39">
                  <c:v>4.3</c:v>
                </c:pt>
                <c:pt idx="40">
                  <c:v>4.4000000000000004</c:v>
                </c:pt>
                <c:pt idx="41">
                  <c:v>4.3</c:v>
                </c:pt>
                <c:pt idx="42">
                  <c:v>4.2</c:v>
                </c:pt>
                <c:pt idx="43">
                  <c:v>4.2</c:v>
                </c:pt>
                <c:pt idx="44">
                  <c:v>4.2</c:v>
                </c:pt>
                <c:pt idx="45">
                  <c:v>4.3</c:v>
                </c:pt>
                <c:pt idx="46">
                  <c:v>4.3</c:v>
                </c:pt>
                <c:pt idx="47">
                  <c:v>4.2</c:v>
                </c:pt>
                <c:pt idx="48">
                  <c:v>4.3</c:v>
                </c:pt>
                <c:pt idx="49">
                  <c:v>4.3</c:v>
                </c:pt>
                <c:pt idx="50">
                  <c:v>4.4000000000000004</c:v>
                </c:pt>
                <c:pt idx="51">
                  <c:v>4.5</c:v>
                </c:pt>
                <c:pt idx="52">
                  <c:v>4.5</c:v>
                </c:pt>
                <c:pt idx="53">
                  <c:v>4.5999999999999996</c:v>
                </c:pt>
                <c:pt idx="54">
                  <c:v>4.7</c:v>
                </c:pt>
                <c:pt idx="55">
                  <c:v>4.8</c:v>
                </c:pt>
                <c:pt idx="56">
                  <c:v>4.9000000000000004</c:v>
                </c:pt>
                <c:pt idx="57">
                  <c:v>5</c:v>
                </c:pt>
                <c:pt idx="58">
                  <c:v>5.0999999999999996</c:v>
                </c:pt>
                <c:pt idx="59">
                  <c:v>5.2</c:v>
                </c:pt>
                <c:pt idx="60">
                  <c:v>5.4</c:v>
                </c:pt>
                <c:pt idx="61">
                  <c:v>5.5</c:v>
                </c:pt>
                <c:pt idx="62">
                  <c:v>5.6</c:v>
                </c:pt>
                <c:pt idx="63">
                  <c:v>5.7</c:v>
                </c:pt>
                <c:pt idx="64">
                  <c:v>5.8</c:v>
                </c:pt>
                <c:pt idx="65">
                  <c:v>5.9</c:v>
                </c:pt>
                <c:pt idx="66">
                  <c:v>6</c:v>
                </c:pt>
                <c:pt idx="67">
                  <c:v>6</c:v>
                </c:pt>
                <c:pt idx="68">
                  <c:v>6.1</c:v>
                </c:pt>
              </c:numCache>
            </c:numRef>
          </c:val>
          <c:extLst>
            <c:ext xmlns:c16="http://schemas.microsoft.com/office/drawing/2014/chart" uri="{C3380CC4-5D6E-409C-BE32-E72D297353CC}">
              <c16:uniqueId val="{00000000-7119-4A4A-94AB-28B04BAF6574}"/>
            </c:ext>
          </c:extLst>
        </c:ser>
        <c:ser>
          <c:idx val="1"/>
          <c:order val="1"/>
          <c:tx>
            <c:strRef>
              <c:f>'Area and Line'!$C$11</c:f>
              <c:strCache>
                <c:ptCount val="1"/>
                <c:pt idx="0">
                  <c:v>Medicare/Medicaid</c:v>
                </c:pt>
              </c:strCache>
            </c:strRef>
          </c:tx>
          <c:spPr>
            <a:solidFill>
              <a:srgbClr val="F0573E"/>
            </a:solidFill>
            <a:ln>
              <a:noFill/>
            </a:ln>
            <a:effectLst/>
          </c:spPr>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Line'!$C$12:$C$80</c:f>
              <c:numCache>
                <c:formatCode>0</c:formatCode>
                <c:ptCount val="69"/>
                <c:pt idx="0">
                  <c:v>0</c:v>
                </c:pt>
                <c:pt idx="1">
                  <c:v>0</c:v>
                </c:pt>
                <c:pt idx="2">
                  <c:v>0</c:v>
                </c:pt>
                <c:pt idx="3">
                  <c:v>0.1</c:v>
                </c:pt>
                <c:pt idx="4">
                  <c:v>0.3</c:v>
                </c:pt>
                <c:pt idx="5">
                  <c:v>0.6</c:v>
                </c:pt>
                <c:pt idx="6">
                  <c:v>0.8</c:v>
                </c:pt>
                <c:pt idx="7">
                  <c:v>0.8</c:v>
                </c:pt>
                <c:pt idx="8">
                  <c:v>0.9</c:v>
                </c:pt>
                <c:pt idx="9">
                  <c:v>0.9</c:v>
                </c:pt>
                <c:pt idx="10">
                  <c:v>1</c:v>
                </c:pt>
                <c:pt idx="11">
                  <c:v>1</c:v>
                </c:pt>
                <c:pt idx="12">
                  <c:v>1.1000000000000001</c:v>
                </c:pt>
                <c:pt idx="13">
                  <c:v>1.3</c:v>
                </c:pt>
                <c:pt idx="14">
                  <c:v>1.4</c:v>
                </c:pt>
                <c:pt idx="15">
                  <c:v>1.5</c:v>
                </c:pt>
                <c:pt idx="16">
                  <c:v>1.5</c:v>
                </c:pt>
                <c:pt idx="17">
                  <c:v>1.6</c:v>
                </c:pt>
                <c:pt idx="18">
                  <c:v>1.7</c:v>
                </c:pt>
                <c:pt idx="19">
                  <c:v>1.8</c:v>
                </c:pt>
                <c:pt idx="20">
                  <c:v>2</c:v>
                </c:pt>
                <c:pt idx="21">
                  <c:v>2</c:v>
                </c:pt>
                <c:pt idx="22">
                  <c:v>2</c:v>
                </c:pt>
                <c:pt idx="23">
                  <c:v>2.1</c:v>
                </c:pt>
                <c:pt idx="24">
                  <c:v>2.1</c:v>
                </c:pt>
                <c:pt idx="25">
                  <c:v>2.2000000000000002</c:v>
                </c:pt>
                <c:pt idx="26">
                  <c:v>2.2000000000000002</c:v>
                </c:pt>
                <c:pt idx="27">
                  <c:v>2.2000000000000002</c:v>
                </c:pt>
                <c:pt idx="28">
                  <c:v>2.4</c:v>
                </c:pt>
                <c:pt idx="29">
                  <c:v>2.7</c:v>
                </c:pt>
                <c:pt idx="30">
                  <c:v>3</c:v>
                </c:pt>
                <c:pt idx="31">
                  <c:v>3.1</c:v>
                </c:pt>
                <c:pt idx="32">
                  <c:v>3.3</c:v>
                </c:pt>
                <c:pt idx="33">
                  <c:v>3.4</c:v>
                </c:pt>
                <c:pt idx="34">
                  <c:v>3.5</c:v>
                </c:pt>
                <c:pt idx="35">
                  <c:v>3.5</c:v>
                </c:pt>
                <c:pt idx="36">
                  <c:v>3.4</c:v>
                </c:pt>
                <c:pt idx="37">
                  <c:v>3.3</c:v>
                </c:pt>
                <c:pt idx="38">
                  <c:v>3.3</c:v>
                </c:pt>
                <c:pt idx="39">
                  <c:v>3.4</c:v>
                </c:pt>
                <c:pt idx="40">
                  <c:v>3.6</c:v>
                </c:pt>
                <c:pt idx="41">
                  <c:v>3.7</c:v>
                </c:pt>
                <c:pt idx="42">
                  <c:v>3.8</c:v>
                </c:pt>
                <c:pt idx="43">
                  <c:v>3.8</c:v>
                </c:pt>
                <c:pt idx="44">
                  <c:v>4</c:v>
                </c:pt>
                <c:pt idx="45">
                  <c:v>4.0999999999999996</c:v>
                </c:pt>
                <c:pt idx="46">
                  <c:v>4.2</c:v>
                </c:pt>
                <c:pt idx="47">
                  <c:v>4.3</c:v>
                </c:pt>
                <c:pt idx="48">
                  <c:v>4.5</c:v>
                </c:pt>
                <c:pt idx="49">
                  <c:v>4.5999999999999996</c:v>
                </c:pt>
                <c:pt idx="50">
                  <c:v>4.7</c:v>
                </c:pt>
                <c:pt idx="51">
                  <c:v>4.9000000000000004</c:v>
                </c:pt>
                <c:pt idx="52">
                  <c:v>5</c:v>
                </c:pt>
                <c:pt idx="53">
                  <c:v>5.2</c:v>
                </c:pt>
                <c:pt idx="54">
                  <c:v>5.4</c:v>
                </c:pt>
                <c:pt idx="55">
                  <c:v>5.6</c:v>
                </c:pt>
                <c:pt idx="56">
                  <c:v>5.7</c:v>
                </c:pt>
                <c:pt idx="57">
                  <c:v>5.9</c:v>
                </c:pt>
                <c:pt idx="58">
                  <c:v>6.1</c:v>
                </c:pt>
                <c:pt idx="59">
                  <c:v>6.3</c:v>
                </c:pt>
                <c:pt idx="60">
                  <c:v>6.5</c:v>
                </c:pt>
                <c:pt idx="61">
                  <c:v>6.7</c:v>
                </c:pt>
                <c:pt idx="62">
                  <c:v>6.9</c:v>
                </c:pt>
                <c:pt idx="63">
                  <c:v>7.2</c:v>
                </c:pt>
                <c:pt idx="64">
                  <c:v>7.4</c:v>
                </c:pt>
                <c:pt idx="65">
                  <c:v>7.6</c:v>
                </c:pt>
                <c:pt idx="66">
                  <c:v>7.9</c:v>
                </c:pt>
                <c:pt idx="67">
                  <c:v>8.1</c:v>
                </c:pt>
                <c:pt idx="68">
                  <c:v>8.3000000000000007</c:v>
                </c:pt>
              </c:numCache>
            </c:numRef>
          </c:val>
          <c:extLst>
            <c:ext xmlns:c16="http://schemas.microsoft.com/office/drawing/2014/chart" uri="{C3380CC4-5D6E-409C-BE32-E72D297353CC}">
              <c16:uniqueId val="{00000001-7119-4A4A-94AB-28B04BAF6574}"/>
            </c:ext>
          </c:extLst>
        </c:ser>
        <c:ser>
          <c:idx val="2"/>
          <c:order val="2"/>
          <c:tx>
            <c:strRef>
              <c:f>'Area and Line'!$D$11</c:f>
              <c:strCache>
                <c:ptCount val="1"/>
                <c:pt idx="0">
                  <c:v>Other Spending</c:v>
                </c:pt>
              </c:strCache>
            </c:strRef>
          </c:tx>
          <c:spPr>
            <a:solidFill>
              <a:srgbClr val="FCB64B"/>
            </a:solidFill>
            <a:ln>
              <a:noFill/>
            </a:ln>
            <a:effectLst/>
          </c:spPr>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Line'!$D$12:$D$80</c:f>
              <c:numCache>
                <c:formatCode>0</c:formatCode>
                <c:ptCount val="69"/>
                <c:pt idx="0">
                  <c:v>14.8</c:v>
                </c:pt>
                <c:pt idx="1">
                  <c:v>14.7</c:v>
                </c:pt>
                <c:pt idx="2">
                  <c:v>14</c:v>
                </c:pt>
                <c:pt idx="3">
                  <c:v>13.7</c:v>
                </c:pt>
                <c:pt idx="4">
                  <c:v>14.4</c:v>
                </c:pt>
                <c:pt idx="5">
                  <c:v>15.6</c:v>
                </c:pt>
                <c:pt idx="6">
                  <c:v>15.1</c:v>
                </c:pt>
                <c:pt idx="7">
                  <c:v>14.2</c:v>
                </c:pt>
                <c:pt idx="8">
                  <c:v>14.1</c:v>
                </c:pt>
                <c:pt idx="9">
                  <c:v>14</c:v>
                </c:pt>
                <c:pt idx="10">
                  <c:v>13.4</c:v>
                </c:pt>
                <c:pt idx="11">
                  <c:v>12.5</c:v>
                </c:pt>
                <c:pt idx="12">
                  <c:v>13.5</c:v>
                </c:pt>
                <c:pt idx="13">
                  <c:v>14.5</c:v>
                </c:pt>
                <c:pt idx="14">
                  <c:v>14.1</c:v>
                </c:pt>
                <c:pt idx="15">
                  <c:v>13.5</c:v>
                </c:pt>
                <c:pt idx="16">
                  <c:v>13.2</c:v>
                </c:pt>
                <c:pt idx="17">
                  <c:v>13.1</c:v>
                </c:pt>
                <c:pt idx="18">
                  <c:v>13.9</c:v>
                </c:pt>
                <c:pt idx="19">
                  <c:v>13.5</c:v>
                </c:pt>
                <c:pt idx="20">
                  <c:v>13.9</c:v>
                </c:pt>
                <c:pt idx="21">
                  <c:v>13.6</c:v>
                </c:pt>
                <c:pt idx="22">
                  <c:v>12.8</c:v>
                </c:pt>
                <c:pt idx="23">
                  <c:v>13</c:v>
                </c:pt>
                <c:pt idx="24">
                  <c:v>12.6</c:v>
                </c:pt>
                <c:pt idx="25">
                  <c:v>12</c:v>
                </c:pt>
                <c:pt idx="26">
                  <c:v>11.7</c:v>
                </c:pt>
                <c:pt idx="27">
                  <c:v>11.7</c:v>
                </c:pt>
                <c:pt idx="28">
                  <c:v>11.9</c:v>
                </c:pt>
                <c:pt idx="29">
                  <c:v>11.8</c:v>
                </c:pt>
                <c:pt idx="30">
                  <c:v>11.2</c:v>
                </c:pt>
                <c:pt idx="31">
                  <c:v>10.6</c:v>
                </c:pt>
                <c:pt idx="32">
                  <c:v>10.1</c:v>
                </c:pt>
                <c:pt idx="33">
                  <c:v>9.5</c:v>
                </c:pt>
                <c:pt idx="34">
                  <c:v>9.1</c:v>
                </c:pt>
                <c:pt idx="35">
                  <c:v>8.6999999999999993</c:v>
                </c:pt>
                <c:pt idx="36">
                  <c:v>8.6</c:v>
                </c:pt>
                <c:pt idx="37">
                  <c:v>8.6999999999999993</c:v>
                </c:pt>
                <c:pt idx="38">
                  <c:v>8.6999999999999993</c:v>
                </c:pt>
                <c:pt idx="39">
                  <c:v>9.1</c:v>
                </c:pt>
                <c:pt idx="40">
                  <c:v>10</c:v>
                </c:pt>
                <c:pt idx="41">
                  <c:v>10.5</c:v>
                </c:pt>
                <c:pt idx="42">
                  <c:v>10.5</c:v>
                </c:pt>
                <c:pt idx="43">
                  <c:v>10.6</c:v>
                </c:pt>
                <c:pt idx="44">
                  <c:v>10.3</c:v>
                </c:pt>
                <c:pt idx="45">
                  <c:v>9.8000000000000007</c:v>
                </c:pt>
                <c:pt idx="46">
                  <c:v>9.8000000000000007</c:v>
                </c:pt>
                <c:pt idx="47">
                  <c:v>9.8000000000000007</c:v>
                </c:pt>
                <c:pt idx="48">
                  <c:v>9.8000000000000007</c:v>
                </c:pt>
                <c:pt idx="49">
                  <c:v>9.8000000000000007</c:v>
                </c:pt>
                <c:pt idx="50">
                  <c:v>9.9</c:v>
                </c:pt>
                <c:pt idx="51">
                  <c:v>9.9</c:v>
                </c:pt>
                <c:pt idx="52">
                  <c:v>9.9</c:v>
                </c:pt>
                <c:pt idx="53">
                  <c:v>9.9</c:v>
                </c:pt>
                <c:pt idx="54">
                  <c:v>9.9</c:v>
                </c:pt>
                <c:pt idx="55">
                  <c:v>9.9</c:v>
                </c:pt>
                <c:pt idx="56">
                  <c:v>9.9</c:v>
                </c:pt>
                <c:pt idx="57">
                  <c:v>9.8000000000000007</c:v>
                </c:pt>
                <c:pt idx="58">
                  <c:v>9.8000000000000007</c:v>
                </c:pt>
                <c:pt idx="59">
                  <c:v>9.8000000000000007</c:v>
                </c:pt>
                <c:pt idx="60">
                  <c:v>9.8000000000000007</c:v>
                </c:pt>
                <c:pt idx="61">
                  <c:v>9.8000000000000007</c:v>
                </c:pt>
                <c:pt idx="62">
                  <c:v>9.8000000000000007</c:v>
                </c:pt>
                <c:pt idx="63">
                  <c:v>9.8000000000000007</c:v>
                </c:pt>
                <c:pt idx="64">
                  <c:v>9.8000000000000007</c:v>
                </c:pt>
                <c:pt idx="65">
                  <c:v>9.8000000000000007</c:v>
                </c:pt>
                <c:pt idx="66">
                  <c:v>9.6999999999999993</c:v>
                </c:pt>
                <c:pt idx="67">
                  <c:v>9.6999999999999993</c:v>
                </c:pt>
                <c:pt idx="68">
                  <c:v>9.8000000000000007</c:v>
                </c:pt>
              </c:numCache>
            </c:numRef>
          </c:val>
          <c:extLst>
            <c:ext xmlns:c16="http://schemas.microsoft.com/office/drawing/2014/chart" uri="{C3380CC4-5D6E-409C-BE32-E72D297353CC}">
              <c16:uniqueId val="{00000002-7119-4A4A-94AB-28B04BAF6574}"/>
            </c:ext>
          </c:extLst>
        </c:ser>
        <c:dLbls>
          <c:showLegendKey val="0"/>
          <c:showVal val="0"/>
          <c:showCatName val="0"/>
          <c:showSerName val="0"/>
          <c:showPercent val="0"/>
          <c:showBubbleSize val="0"/>
        </c:dLbls>
        <c:axId val="526171535"/>
        <c:axId val="526174895"/>
      </c:areaChart>
      <c:lineChart>
        <c:grouping val="standard"/>
        <c:varyColors val="0"/>
        <c:ser>
          <c:idx val="4"/>
          <c:order val="3"/>
          <c:tx>
            <c:strRef>
              <c:f>'Area and Line'!$F$11</c:f>
              <c:strCache>
                <c:ptCount val="1"/>
                <c:pt idx="0">
                  <c:v>Revenues</c:v>
                </c:pt>
              </c:strCache>
            </c:strRef>
          </c:tx>
          <c:spPr>
            <a:ln w="25400" cap="rnd">
              <a:solidFill>
                <a:srgbClr val="5C5859"/>
              </a:solidFill>
              <a:round/>
            </a:ln>
            <a:effectLst/>
          </c:spPr>
          <c:marker>
            <c:symbol val="none"/>
          </c:marker>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Line'!$F$12:$F$80</c:f>
              <c:numCache>
                <c:formatCode>0</c:formatCode>
                <c:ptCount val="69"/>
                <c:pt idx="0">
                  <c:v>17.600000000000001</c:v>
                </c:pt>
                <c:pt idx="1">
                  <c:v>17.7</c:v>
                </c:pt>
                <c:pt idx="2">
                  <c:v>17.3</c:v>
                </c:pt>
                <c:pt idx="3">
                  <c:v>17.2</c:v>
                </c:pt>
                <c:pt idx="4">
                  <c:v>17.8</c:v>
                </c:pt>
                <c:pt idx="5">
                  <c:v>18.100000000000001</c:v>
                </c:pt>
                <c:pt idx="6">
                  <c:v>18.7</c:v>
                </c:pt>
                <c:pt idx="7">
                  <c:v>19.3</c:v>
                </c:pt>
                <c:pt idx="8">
                  <c:v>18.3</c:v>
                </c:pt>
                <c:pt idx="9">
                  <c:v>17.5</c:v>
                </c:pt>
                <c:pt idx="10">
                  <c:v>17.7</c:v>
                </c:pt>
                <c:pt idx="11">
                  <c:v>17.899999999999999</c:v>
                </c:pt>
                <c:pt idx="12">
                  <c:v>18.100000000000001</c:v>
                </c:pt>
                <c:pt idx="13">
                  <c:v>17.600000000000001</c:v>
                </c:pt>
                <c:pt idx="14">
                  <c:v>17.899999999999999</c:v>
                </c:pt>
                <c:pt idx="15">
                  <c:v>18.100000000000001</c:v>
                </c:pt>
                <c:pt idx="16">
                  <c:v>18.100000000000001</c:v>
                </c:pt>
                <c:pt idx="17">
                  <c:v>18.600000000000001</c:v>
                </c:pt>
                <c:pt idx="18">
                  <c:v>19.3</c:v>
                </c:pt>
                <c:pt idx="19">
                  <c:v>19.3</c:v>
                </c:pt>
                <c:pt idx="20">
                  <c:v>18.899999999999999</c:v>
                </c:pt>
                <c:pt idx="21">
                  <c:v>17.5</c:v>
                </c:pt>
                <c:pt idx="22">
                  <c:v>17.399999999999999</c:v>
                </c:pt>
                <c:pt idx="23">
                  <c:v>17.600000000000001</c:v>
                </c:pt>
                <c:pt idx="24">
                  <c:v>17.7</c:v>
                </c:pt>
                <c:pt idx="25">
                  <c:v>18.3</c:v>
                </c:pt>
                <c:pt idx="26">
                  <c:v>18.2</c:v>
                </c:pt>
                <c:pt idx="27">
                  <c:v>18.3</c:v>
                </c:pt>
                <c:pt idx="28">
                  <c:v>17.899999999999999</c:v>
                </c:pt>
                <c:pt idx="29">
                  <c:v>17.8</c:v>
                </c:pt>
                <c:pt idx="30">
                  <c:v>17.5</c:v>
                </c:pt>
                <c:pt idx="31">
                  <c:v>17.7</c:v>
                </c:pt>
                <c:pt idx="32">
                  <c:v>18.100000000000001</c:v>
                </c:pt>
                <c:pt idx="33">
                  <c:v>18.600000000000001</c:v>
                </c:pt>
                <c:pt idx="34">
                  <c:v>19</c:v>
                </c:pt>
                <c:pt idx="35">
                  <c:v>19.5</c:v>
                </c:pt>
                <c:pt idx="36">
                  <c:v>20</c:v>
                </c:pt>
                <c:pt idx="37">
                  <c:v>20.3</c:v>
                </c:pt>
                <c:pt idx="38">
                  <c:v>20.6</c:v>
                </c:pt>
                <c:pt idx="39">
                  <c:v>19.3</c:v>
                </c:pt>
                <c:pt idx="40">
                  <c:v>17.5</c:v>
                </c:pt>
                <c:pt idx="41">
                  <c:v>16.5</c:v>
                </c:pt>
                <c:pt idx="42">
                  <c:v>16.600000000000001</c:v>
                </c:pt>
                <c:pt idx="43">
                  <c:v>17.8</c:v>
                </c:pt>
                <c:pt idx="44">
                  <c:v>18.399999999999999</c:v>
                </c:pt>
                <c:pt idx="45">
                  <c:v>18.899999999999999</c:v>
                </c:pt>
                <c:pt idx="46">
                  <c:v>18.899999999999999</c:v>
                </c:pt>
                <c:pt idx="47">
                  <c:v>18.600000000000001</c:v>
                </c:pt>
                <c:pt idx="48">
                  <c:v>18.399999999999999</c:v>
                </c:pt>
                <c:pt idx="49">
                  <c:v>18.5</c:v>
                </c:pt>
                <c:pt idx="50">
                  <c:v>18.399999999999999</c:v>
                </c:pt>
                <c:pt idx="51">
                  <c:v>18.3</c:v>
                </c:pt>
                <c:pt idx="52">
                  <c:v>18.3</c:v>
                </c:pt>
                <c:pt idx="53">
                  <c:v>18.399999999999999</c:v>
                </c:pt>
                <c:pt idx="54">
                  <c:v>18.5</c:v>
                </c:pt>
                <c:pt idx="55">
                  <c:v>18.5</c:v>
                </c:pt>
                <c:pt idx="56">
                  <c:v>18.5</c:v>
                </c:pt>
                <c:pt idx="57">
                  <c:v>18.600000000000001</c:v>
                </c:pt>
                <c:pt idx="58">
                  <c:v>18.600000000000001</c:v>
                </c:pt>
                <c:pt idx="59">
                  <c:v>18.600000000000001</c:v>
                </c:pt>
                <c:pt idx="60">
                  <c:v>18.600000000000001</c:v>
                </c:pt>
                <c:pt idx="61">
                  <c:v>18.7</c:v>
                </c:pt>
                <c:pt idx="62">
                  <c:v>18.600000000000001</c:v>
                </c:pt>
                <c:pt idx="63">
                  <c:v>18.7</c:v>
                </c:pt>
                <c:pt idx="64">
                  <c:v>18.7</c:v>
                </c:pt>
                <c:pt idx="65">
                  <c:v>18.7</c:v>
                </c:pt>
                <c:pt idx="66">
                  <c:v>18.8</c:v>
                </c:pt>
                <c:pt idx="67">
                  <c:v>18.899999999999999</c:v>
                </c:pt>
                <c:pt idx="68">
                  <c:v>18.899999999999999</c:v>
                </c:pt>
              </c:numCache>
            </c:numRef>
          </c:val>
          <c:smooth val="0"/>
          <c:extLst>
            <c:ext xmlns:c16="http://schemas.microsoft.com/office/drawing/2014/chart" uri="{C3380CC4-5D6E-409C-BE32-E72D297353CC}">
              <c16:uniqueId val="{00000004-7119-4A4A-94AB-28B04BAF6574}"/>
            </c:ext>
          </c:extLst>
        </c:ser>
        <c:dLbls>
          <c:showLegendKey val="0"/>
          <c:showVal val="0"/>
          <c:showCatName val="0"/>
          <c:showSerName val="0"/>
          <c:showPercent val="0"/>
          <c:showBubbleSize val="0"/>
        </c:dLbls>
        <c:marker val="1"/>
        <c:smooth val="0"/>
        <c:axId val="526171535"/>
        <c:axId val="526174895"/>
      </c:lineChart>
      <c:catAx>
        <c:axId val="526171535"/>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74895"/>
        <c:crosses val="autoZero"/>
        <c:auto val="1"/>
        <c:lblAlgn val="ctr"/>
        <c:lblOffset val="100"/>
        <c:noMultiLvlLbl val="0"/>
      </c:catAx>
      <c:valAx>
        <c:axId val="526174895"/>
        <c:scaling>
          <c:orientation val="minMax"/>
        </c:scaling>
        <c:delete val="0"/>
        <c:axPos val="l"/>
        <c:majorGridlines>
          <c:spPr>
            <a:ln w="12700" cap="flat" cmpd="sng" algn="ctr">
              <a:solidFill>
                <a:srgbClr val="DDDDDD"/>
              </a:solidFill>
              <a:prstDash val="solid"/>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71535"/>
        <c:crosses val="autoZero"/>
        <c:crossBetween val="between"/>
      </c:valAx>
      <c:spPr>
        <a:noFill/>
        <a:ln>
          <a:noFill/>
        </a:ln>
        <a:effectLst/>
      </c:spPr>
    </c:plotArea>
    <c:legend>
      <c:legendPos val="t"/>
      <c:layout>
        <c:manualLayout>
          <c:xMode val="edge"/>
          <c:yMode val="edge"/>
          <c:x val="0.23312884264534584"/>
          <c:y val="0.16090104585679807"/>
          <c:w val="0.66082695614313436"/>
          <c:h val="4.4680481914820977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venir TPC"/>
              <a:ea typeface="Avenir TPC"/>
              <a:cs typeface="Avenir TPC"/>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078429279527094E-2"/>
          <c:y val="0.19981080401956997"/>
          <c:w val="0.84725363597802716"/>
          <c:h val="0.61178645911417151"/>
        </c:manualLayout>
      </c:layout>
      <c:areaChart>
        <c:grouping val="stacked"/>
        <c:varyColors val="0"/>
        <c:ser>
          <c:idx val="0"/>
          <c:order val="0"/>
          <c:tx>
            <c:strRef>
              <c:f>'Area and Line'!$B$11</c:f>
              <c:strCache>
                <c:ptCount val="1"/>
                <c:pt idx="0">
                  <c:v>Social Security</c:v>
                </c:pt>
              </c:strCache>
            </c:strRef>
          </c:tx>
          <c:spPr>
            <a:solidFill>
              <a:srgbClr val="174A7C"/>
            </a:solidFill>
            <a:ln>
              <a:noFill/>
            </a:ln>
            <a:effectLst/>
          </c:spPr>
          <c:dLbls>
            <c:dLbl>
              <c:idx val="68"/>
              <c:layout>
                <c:manualLayout>
                  <c:x val="4.4880341090592281E-2"/>
                  <c:y val="-6.7042102440333373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174A7C"/>
                      </a:solidFill>
                      <a:latin typeface="Avenir TPC"/>
                      <a:ea typeface="Avenir TPC"/>
                      <a:cs typeface="Avenir TPC"/>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8.4803992541839374E-2"/>
                      <c:h val="9.273048934048167E-2"/>
                    </c:manualLayout>
                  </c15:layout>
                </c:ext>
                <c:ext xmlns:c16="http://schemas.microsoft.com/office/drawing/2014/chart" uri="{C3380CC4-5D6E-409C-BE32-E72D297353CC}">
                  <c16:uniqueId val="{00000000-CA14-45DF-88FD-2C56FEE75C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Line'!$B$12:$B$80</c:f>
              <c:numCache>
                <c:formatCode>0</c:formatCode>
                <c:ptCount val="69"/>
                <c:pt idx="0">
                  <c:v>2.5</c:v>
                </c:pt>
                <c:pt idx="1">
                  <c:v>2.6</c:v>
                </c:pt>
                <c:pt idx="2">
                  <c:v>2.5</c:v>
                </c:pt>
                <c:pt idx="3">
                  <c:v>2.6</c:v>
                </c:pt>
                <c:pt idx="4">
                  <c:v>2.6</c:v>
                </c:pt>
                <c:pt idx="5">
                  <c:v>2.6</c:v>
                </c:pt>
                <c:pt idx="6">
                  <c:v>2.8</c:v>
                </c:pt>
                <c:pt idx="7">
                  <c:v>2.8</c:v>
                </c:pt>
                <c:pt idx="8">
                  <c:v>3.1</c:v>
                </c:pt>
                <c:pt idx="9">
                  <c:v>3.4</c:v>
                </c:pt>
                <c:pt idx="10">
                  <c:v>3.4</c:v>
                </c:pt>
                <c:pt idx="11">
                  <c:v>3.8</c:v>
                </c:pt>
                <c:pt idx="12">
                  <c:v>4</c:v>
                </c:pt>
                <c:pt idx="13">
                  <c:v>4.2</c:v>
                </c:pt>
                <c:pt idx="14">
                  <c:v>4.2</c:v>
                </c:pt>
                <c:pt idx="15">
                  <c:v>4.2</c:v>
                </c:pt>
                <c:pt idx="16">
                  <c:v>4.0999999999999996</c:v>
                </c:pt>
                <c:pt idx="17">
                  <c:v>4.0999999999999996</c:v>
                </c:pt>
                <c:pt idx="18">
                  <c:v>4.4000000000000004</c:v>
                </c:pt>
                <c:pt idx="19">
                  <c:v>4.5999999999999996</c:v>
                </c:pt>
                <c:pt idx="20">
                  <c:v>4.9000000000000004</c:v>
                </c:pt>
                <c:pt idx="21">
                  <c:v>4.8</c:v>
                </c:pt>
                <c:pt idx="22">
                  <c:v>4.5</c:v>
                </c:pt>
                <c:pt idx="23">
                  <c:v>4.5</c:v>
                </c:pt>
                <c:pt idx="24">
                  <c:v>4.5</c:v>
                </c:pt>
                <c:pt idx="25">
                  <c:v>4.4000000000000004</c:v>
                </c:pt>
                <c:pt idx="26">
                  <c:v>4.3</c:v>
                </c:pt>
                <c:pt idx="27">
                  <c:v>4.3</c:v>
                </c:pt>
                <c:pt idx="28">
                  <c:v>4.3</c:v>
                </c:pt>
                <c:pt idx="29">
                  <c:v>4.5</c:v>
                </c:pt>
                <c:pt idx="30">
                  <c:v>4.5999999999999996</c:v>
                </c:pt>
                <c:pt idx="31">
                  <c:v>4.5999999999999996</c:v>
                </c:pt>
                <c:pt idx="32">
                  <c:v>4.5</c:v>
                </c:pt>
                <c:pt idx="33">
                  <c:v>4.5999999999999996</c:v>
                </c:pt>
                <c:pt idx="34">
                  <c:v>4.5</c:v>
                </c:pt>
                <c:pt idx="35">
                  <c:v>4.4000000000000004</c:v>
                </c:pt>
                <c:pt idx="36">
                  <c:v>4.3</c:v>
                </c:pt>
                <c:pt idx="37">
                  <c:v>4.2</c:v>
                </c:pt>
                <c:pt idx="38">
                  <c:v>4.2</c:v>
                </c:pt>
                <c:pt idx="39">
                  <c:v>4.3</c:v>
                </c:pt>
                <c:pt idx="40">
                  <c:v>4.4000000000000004</c:v>
                </c:pt>
                <c:pt idx="41">
                  <c:v>4.3</c:v>
                </c:pt>
                <c:pt idx="42">
                  <c:v>4.2</c:v>
                </c:pt>
                <c:pt idx="43">
                  <c:v>4.2</c:v>
                </c:pt>
                <c:pt idx="44">
                  <c:v>4.2</c:v>
                </c:pt>
                <c:pt idx="45">
                  <c:v>4.3</c:v>
                </c:pt>
                <c:pt idx="46">
                  <c:v>4.3</c:v>
                </c:pt>
                <c:pt idx="47">
                  <c:v>4.2</c:v>
                </c:pt>
                <c:pt idx="48">
                  <c:v>4.3</c:v>
                </c:pt>
                <c:pt idx="49">
                  <c:v>4.3</c:v>
                </c:pt>
                <c:pt idx="50">
                  <c:v>4.4000000000000004</c:v>
                </c:pt>
                <c:pt idx="51">
                  <c:v>4.5</c:v>
                </c:pt>
                <c:pt idx="52">
                  <c:v>4.5</c:v>
                </c:pt>
                <c:pt idx="53">
                  <c:v>4.5999999999999996</c:v>
                </c:pt>
                <c:pt idx="54">
                  <c:v>4.7</c:v>
                </c:pt>
                <c:pt idx="55">
                  <c:v>4.8</c:v>
                </c:pt>
                <c:pt idx="56">
                  <c:v>4.9000000000000004</c:v>
                </c:pt>
                <c:pt idx="57">
                  <c:v>5</c:v>
                </c:pt>
                <c:pt idx="58">
                  <c:v>5.0999999999999996</c:v>
                </c:pt>
                <c:pt idx="59">
                  <c:v>5.2</c:v>
                </c:pt>
                <c:pt idx="60">
                  <c:v>5.4</c:v>
                </c:pt>
                <c:pt idx="61">
                  <c:v>5.5</c:v>
                </c:pt>
                <c:pt idx="62">
                  <c:v>5.6</c:v>
                </c:pt>
                <c:pt idx="63">
                  <c:v>5.7</c:v>
                </c:pt>
                <c:pt idx="64">
                  <c:v>5.8</c:v>
                </c:pt>
                <c:pt idx="65">
                  <c:v>5.9</c:v>
                </c:pt>
                <c:pt idx="66">
                  <c:v>6</c:v>
                </c:pt>
                <c:pt idx="67">
                  <c:v>6</c:v>
                </c:pt>
                <c:pt idx="68">
                  <c:v>6.1</c:v>
                </c:pt>
              </c:numCache>
            </c:numRef>
          </c:val>
          <c:extLst>
            <c:ext xmlns:c16="http://schemas.microsoft.com/office/drawing/2014/chart" uri="{C3380CC4-5D6E-409C-BE32-E72D297353CC}">
              <c16:uniqueId val="{00000000-7119-4A4A-94AB-28B04BAF6574}"/>
            </c:ext>
          </c:extLst>
        </c:ser>
        <c:ser>
          <c:idx val="1"/>
          <c:order val="1"/>
          <c:tx>
            <c:strRef>
              <c:f>'Area and Line'!$C$11</c:f>
              <c:strCache>
                <c:ptCount val="1"/>
                <c:pt idx="0">
                  <c:v>Medicare/Medicaid</c:v>
                </c:pt>
              </c:strCache>
            </c:strRef>
          </c:tx>
          <c:spPr>
            <a:solidFill>
              <a:srgbClr val="F0573E"/>
            </a:solidFill>
            <a:ln>
              <a:noFill/>
            </a:ln>
            <a:effectLst/>
          </c:spPr>
          <c:dLbls>
            <c:dLbl>
              <c:idx val="68"/>
              <c:layout>
                <c:manualLayout>
                  <c:x val="5.1480443219872406E-2"/>
                  <c:y val="-2.234736748011084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F0573E"/>
                      </a:solidFill>
                      <a:latin typeface="Avenir TPC"/>
                      <a:ea typeface="Avenir TPC"/>
                      <a:cs typeface="Avenir TPC"/>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9.1872698232506558E-2"/>
                      <c:h val="8.155680560042626E-2"/>
                    </c:manualLayout>
                  </c15:layout>
                </c:ext>
                <c:ext xmlns:c16="http://schemas.microsoft.com/office/drawing/2014/chart" uri="{C3380CC4-5D6E-409C-BE32-E72D297353CC}">
                  <c16:uniqueId val="{00000045-CA14-45DF-88FD-2C56FEE75C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Line'!$C$12:$C$80</c:f>
              <c:numCache>
                <c:formatCode>0</c:formatCode>
                <c:ptCount val="69"/>
                <c:pt idx="0">
                  <c:v>0</c:v>
                </c:pt>
                <c:pt idx="1">
                  <c:v>0</c:v>
                </c:pt>
                <c:pt idx="2">
                  <c:v>0</c:v>
                </c:pt>
                <c:pt idx="3">
                  <c:v>0.1</c:v>
                </c:pt>
                <c:pt idx="4">
                  <c:v>0.3</c:v>
                </c:pt>
                <c:pt idx="5">
                  <c:v>0.6</c:v>
                </c:pt>
                <c:pt idx="6">
                  <c:v>0.8</c:v>
                </c:pt>
                <c:pt idx="7">
                  <c:v>0.8</c:v>
                </c:pt>
                <c:pt idx="8">
                  <c:v>0.9</c:v>
                </c:pt>
                <c:pt idx="9">
                  <c:v>0.9</c:v>
                </c:pt>
                <c:pt idx="10">
                  <c:v>1</c:v>
                </c:pt>
                <c:pt idx="11">
                  <c:v>1</c:v>
                </c:pt>
                <c:pt idx="12">
                  <c:v>1.1000000000000001</c:v>
                </c:pt>
                <c:pt idx="13">
                  <c:v>1.3</c:v>
                </c:pt>
                <c:pt idx="14">
                  <c:v>1.4</c:v>
                </c:pt>
                <c:pt idx="15">
                  <c:v>1.5</c:v>
                </c:pt>
                <c:pt idx="16">
                  <c:v>1.5</c:v>
                </c:pt>
                <c:pt idx="17">
                  <c:v>1.6</c:v>
                </c:pt>
                <c:pt idx="18">
                  <c:v>1.7</c:v>
                </c:pt>
                <c:pt idx="19">
                  <c:v>1.8</c:v>
                </c:pt>
                <c:pt idx="20">
                  <c:v>2</c:v>
                </c:pt>
                <c:pt idx="21">
                  <c:v>2</c:v>
                </c:pt>
                <c:pt idx="22">
                  <c:v>2</c:v>
                </c:pt>
                <c:pt idx="23">
                  <c:v>2.1</c:v>
                </c:pt>
                <c:pt idx="24">
                  <c:v>2.1</c:v>
                </c:pt>
                <c:pt idx="25">
                  <c:v>2.2000000000000002</c:v>
                </c:pt>
                <c:pt idx="26">
                  <c:v>2.2000000000000002</c:v>
                </c:pt>
                <c:pt idx="27">
                  <c:v>2.2000000000000002</c:v>
                </c:pt>
                <c:pt idx="28">
                  <c:v>2.4</c:v>
                </c:pt>
                <c:pt idx="29">
                  <c:v>2.7</c:v>
                </c:pt>
                <c:pt idx="30">
                  <c:v>3</c:v>
                </c:pt>
                <c:pt idx="31">
                  <c:v>3.1</c:v>
                </c:pt>
                <c:pt idx="32">
                  <c:v>3.3</c:v>
                </c:pt>
                <c:pt idx="33">
                  <c:v>3.4</c:v>
                </c:pt>
                <c:pt idx="34">
                  <c:v>3.5</c:v>
                </c:pt>
                <c:pt idx="35">
                  <c:v>3.5</c:v>
                </c:pt>
                <c:pt idx="36">
                  <c:v>3.4</c:v>
                </c:pt>
                <c:pt idx="37">
                  <c:v>3.3</c:v>
                </c:pt>
                <c:pt idx="38">
                  <c:v>3.3</c:v>
                </c:pt>
                <c:pt idx="39">
                  <c:v>3.4</c:v>
                </c:pt>
                <c:pt idx="40">
                  <c:v>3.6</c:v>
                </c:pt>
                <c:pt idx="41">
                  <c:v>3.7</c:v>
                </c:pt>
                <c:pt idx="42">
                  <c:v>3.8</c:v>
                </c:pt>
                <c:pt idx="43">
                  <c:v>3.8</c:v>
                </c:pt>
                <c:pt idx="44">
                  <c:v>4</c:v>
                </c:pt>
                <c:pt idx="45">
                  <c:v>4.0999999999999996</c:v>
                </c:pt>
                <c:pt idx="46">
                  <c:v>4.2</c:v>
                </c:pt>
                <c:pt idx="47">
                  <c:v>4.3</c:v>
                </c:pt>
                <c:pt idx="48">
                  <c:v>4.5</c:v>
                </c:pt>
                <c:pt idx="49">
                  <c:v>4.5999999999999996</c:v>
                </c:pt>
                <c:pt idx="50">
                  <c:v>4.7</c:v>
                </c:pt>
                <c:pt idx="51">
                  <c:v>4.9000000000000004</c:v>
                </c:pt>
                <c:pt idx="52">
                  <c:v>5</c:v>
                </c:pt>
                <c:pt idx="53">
                  <c:v>5.2</c:v>
                </c:pt>
                <c:pt idx="54">
                  <c:v>5.4</c:v>
                </c:pt>
                <c:pt idx="55">
                  <c:v>5.6</c:v>
                </c:pt>
                <c:pt idx="56">
                  <c:v>5.7</c:v>
                </c:pt>
                <c:pt idx="57">
                  <c:v>5.9</c:v>
                </c:pt>
                <c:pt idx="58">
                  <c:v>6.1</c:v>
                </c:pt>
                <c:pt idx="59">
                  <c:v>6.3</c:v>
                </c:pt>
                <c:pt idx="60">
                  <c:v>6.5</c:v>
                </c:pt>
                <c:pt idx="61">
                  <c:v>6.7</c:v>
                </c:pt>
                <c:pt idx="62">
                  <c:v>6.9</c:v>
                </c:pt>
                <c:pt idx="63">
                  <c:v>7.2</c:v>
                </c:pt>
                <c:pt idx="64">
                  <c:v>7.4</c:v>
                </c:pt>
                <c:pt idx="65">
                  <c:v>7.6</c:v>
                </c:pt>
                <c:pt idx="66">
                  <c:v>7.9</c:v>
                </c:pt>
                <c:pt idx="67">
                  <c:v>8.1</c:v>
                </c:pt>
                <c:pt idx="68">
                  <c:v>8.3000000000000007</c:v>
                </c:pt>
              </c:numCache>
            </c:numRef>
          </c:val>
          <c:extLst>
            <c:ext xmlns:c16="http://schemas.microsoft.com/office/drawing/2014/chart" uri="{C3380CC4-5D6E-409C-BE32-E72D297353CC}">
              <c16:uniqueId val="{00000001-7119-4A4A-94AB-28B04BAF6574}"/>
            </c:ext>
          </c:extLst>
        </c:ser>
        <c:ser>
          <c:idx val="2"/>
          <c:order val="2"/>
          <c:tx>
            <c:strRef>
              <c:f>'Area and Line'!$D$11</c:f>
              <c:strCache>
                <c:ptCount val="1"/>
                <c:pt idx="0">
                  <c:v>Other Spending</c:v>
                </c:pt>
              </c:strCache>
            </c:strRef>
          </c:tx>
          <c:spPr>
            <a:solidFill>
              <a:srgbClr val="FCB64B"/>
            </a:solidFill>
            <a:ln>
              <a:noFill/>
            </a:ln>
            <a:effectLst/>
          </c:spPr>
          <c:dLbls>
            <c:dLbl>
              <c:idx val="68"/>
              <c:layout>
                <c:manualLayout>
                  <c:x val="4.8180418139681602E-2"/>
                  <c:y val="2.346473585411638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FCB64B"/>
                      </a:solidFill>
                      <a:latin typeface="Avenir TPC"/>
                      <a:ea typeface="Avenir TPC"/>
                      <a:cs typeface="Avenir TPC"/>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0750816509355077"/>
                      <c:h val="7.2617858608381922E-2"/>
                    </c:manualLayout>
                  </c15:layout>
                </c:ext>
                <c:ext xmlns:c16="http://schemas.microsoft.com/office/drawing/2014/chart" uri="{C3380CC4-5D6E-409C-BE32-E72D297353CC}">
                  <c16:uniqueId val="{0000008A-CA14-45DF-88FD-2C56FEE75C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Line'!$D$12:$D$80</c:f>
              <c:numCache>
                <c:formatCode>0</c:formatCode>
                <c:ptCount val="69"/>
                <c:pt idx="0">
                  <c:v>14.8</c:v>
                </c:pt>
                <c:pt idx="1">
                  <c:v>14.7</c:v>
                </c:pt>
                <c:pt idx="2">
                  <c:v>14</c:v>
                </c:pt>
                <c:pt idx="3">
                  <c:v>13.7</c:v>
                </c:pt>
                <c:pt idx="4">
                  <c:v>14.4</c:v>
                </c:pt>
                <c:pt idx="5">
                  <c:v>15.6</c:v>
                </c:pt>
                <c:pt idx="6">
                  <c:v>15.1</c:v>
                </c:pt>
                <c:pt idx="7">
                  <c:v>14.2</c:v>
                </c:pt>
                <c:pt idx="8">
                  <c:v>14.1</c:v>
                </c:pt>
                <c:pt idx="9">
                  <c:v>14</c:v>
                </c:pt>
                <c:pt idx="10">
                  <c:v>13.4</c:v>
                </c:pt>
                <c:pt idx="11">
                  <c:v>12.5</c:v>
                </c:pt>
                <c:pt idx="12">
                  <c:v>13.5</c:v>
                </c:pt>
                <c:pt idx="13">
                  <c:v>14.5</c:v>
                </c:pt>
                <c:pt idx="14">
                  <c:v>14.1</c:v>
                </c:pt>
                <c:pt idx="15">
                  <c:v>13.5</c:v>
                </c:pt>
                <c:pt idx="16">
                  <c:v>13.2</c:v>
                </c:pt>
                <c:pt idx="17">
                  <c:v>13.1</c:v>
                </c:pt>
                <c:pt idx="18">
                  <c:v>13.9</c:v>
                </c:pt>
                <c:pt idx="19">
                  <c:v>13.5</c:v>
                </c:pt>
                <c:pt idx="20">
                  <c:v>13.9</c:v>
                </c:pt>
                <c:pt idx="21">
                  <c:v>13.6</c:v>
                </c:pt>
                <c:pt idx="22">
                  <c:v>12.8</c:v>
                </c:pt>
                <c:pt idx="23">
                  <c:v>13</c:v>
                </c:pt>
                <c:pt idx="24">
                  <c:v>12.6</c:v>
                </c:pt>
                <c:pt idx="25">
                  <c:v>12</c:v>
                </c:pt>
                <c:pt idx="26">
                  <c:v>11.7</c:v>
                </c:pt>
                <c:pt idx="27">
                  <c:v>11.7</c:v>
                </c:pt>
                <c:pt idx="28">
                  <c:v>11.9</c:v>
                </c:pt>
                <c:pt idx="29">
                  <c:v>11.8</c:v>
                </c:pt>
                <c:pt idx="30">
                  <c:v>11.2</c:v>
                </c:pt>
                <c:pt idx="31">
                  <c:v>10.6</c:v>
                </c:pt>
                <c:pt idx="32">
                  <c:v>10.1</c:v>
                </c:pt>
                <c:pt idx="33">
                  <c:v>9.5</c:v>
                </c:pt>
                <c:pt idx="34">
                  <c:v>9.1</c:v>
                </c:pt>
                <c:pt idx="35">
                  <c:v>8.6999999999999993</c:v>
                </c:pt>
                <c:pt idx="36">
                  <c:v>8.6</c:v>
                </c:pt>
                <c:pt idx="37">
                  <c:v>8.6999999999999993</c:v>
                </c:pt>
                <c:pt idx="38">
                  <c:v>8.6999999999999993</c:v>
                </c:pt>
                <c:pt idx="39">
                  <c:v>9.1</c:v>
                </c:pt>
                <c:pt idx="40">
                  <c:v>10</c:v>
                </c:pt>
                <c:pt idx="41">
                  <c:v>10.5</c:v>
                </c:pt>
                <c:pt idx="42">
                  <c:v>10.5</c:v>
                </c:pt>
                <c:pt idx="43">
                  <c:v>10.6</c:v>
                </c:pt>
                <c:pt idx="44">
                  <c:v>10.3</c:v>
                </c:pt>
                <c:pt idx="45">
                  <c:v>9.8000000000000007</c:v>
                </c:pt>
                <c:pt idx="46">
                  <c:v>9.8000000000000007</c:v>
                </c:pt>
                <c:pt idx="47">
                  <c:v>9.8000000000000007</c:v>
                </c:pt>
                <c:pt idx="48">
                  <c:v>9.8000000000000007</c:v>
                </c:pt>
                <c:pt idx="49">
                  <c:v>9.8000000000000007</c:v>
                </c:pt>
                <c:pt idx="50">
                  <c:v>9.9</c:v>
                </c:pt>
                <c:pt idx="51">
                  <c:v>9.9</c:v>
                </c:pt>
                <c:pt idx="52">
                  <c:v>9.9</c:v>
                </c:pt>
                <c:pt idx="53">
                  <c:v>9.9</c:v>
                </c:pt>
                <c:pt idx="54">
                  <c:v>9.9</c:v>
                </c:pt>
                <c:pt idx="55">
                  <c:v>9.9</c:v>
                </c:pt>
                <c:pt idx="56">
                  <c:v>9.9</c:v>
                </c:pt>
                <c:pt idx="57">
                  <c:v>9.8000000000000007</c:v>
                </c:pt>
                <c:pt idx="58">
                  <c:v>9.8000000000000007</c:v>
                </c:pt>
                <c:pt idx="59">
                  <c:v>9.8000000000000007</c:v>
                </c:pt>
                <c:pt idx="60">
                  <c:v>9.8000000000000007</c:v>
                </c:pt>
                <c:pt idx="61">
                  <c:v>9.8000000000000007</c:v>
                </c:pt>
                <c:pt idx="62">
                  <c:v>9.8000000000000007</c:v>
                </c:pt>
                <c:pt idx="63">
                  <c:v>9.8000000000000007</c:v>
                </c:pt>
                <c:pt idx="64">
                  <c:v>9.8000000000000007</c:v>
                </c:pt>
                <c:pt idx="65">
                  <c:v>9.8000000000000007</c:v>
                </c:pt>
                <c:pt idx="66">
                  <c:v>9.6999999999999993</c:v>
                </c:pt>
                <c:pt idx="67">
                  <c:v>9.6999999999999993</c:v>
                </c:pt>
                <c:pt idx="68">
                  <c:v>9.8000000000000007</c:v>
                </c:pt>
              </c:numCache>
            </c:numRef>
          </c:val>
          <c:extLst>
            <c:ext xmlns:c16="http://schemas.microsoft.com/office/drawing/2014/chart" uri="{C3380CC4-5D6E-409C-BE32-E72D297353CC}">
              <c16:uniqueId val="{00000002-7119-4A4A-94AB-28B04BAF6574}"/>
            </c:ext>
          </c:extLst>
        </c:ser>
        <c:dLbls>
          <c:showLegendKey val="0"/>
          <c:showVal val="0"/>
          <c:showCatName val="0"/>
          <c:showSerName val="0"/>
          <c:showPercent val="0"/>
          <c:showBubbleSize val="0"/>
        </c:dLbls>
        <c:axId val="526171535"/>
        <c:axId val="526174895"/>
      </c:areaChart>
      <c:lineChart>
        <c:grouping val="standard"/>
        <c:varyColors val="0"/>
        <c:ser>
          <c:idx val="4"/>
          <c:order val="3"/>
          <c:tx>
            <c:strRef>
              <c:f>'Area and Line'!$F$11</c:f>
              <c:strCache>
                <c:ptCount val="1"/>
                <c:pt idx="0">
                  <c:v>Revenues</c:v>
                </c:pt>
              </c:strCache>
            </c:strRef>
          </c:tx>
          <c:spPr>
            <a:ln w="25400" cap="rnd">
              <a:solidFill>
                <a:srgbClr val="5C5859"/>
              </a:solidFill>
              <a:round/>
            </a:ln>
            <a:effectLst/>
          </c:spPr>
          <c:marker>
            <c:symbol val="none"/>
          </c:marker>
          <c:dLbls>
            <c:dLbl>
              <c:idx val="68"/>
              <c:layout>
                <c:manualLayout>
                  <c:x val="-0.11220085272648092"/>
                  <c:y val="-2.90515777241441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5C5859"/>
                      </a:solidFill>
                      <a:latin typeface="Avenir TPC"/>
                      <a:ea typeface="Avenir TPC"/>
                      <a:cs typeface="Avenir TPC"/>
                    </a:defRPr>
                  </a:pPr>
                  <a:endParaRPr lang="en-US"/>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CF-CA14-45DF-88FD-2C56FEE75C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'Area and Line'!$G$12:$G$80</c:f>
              <c:strCache>
                <c:ptCount val="69"/>
                <c:pt idx="0">
                  <c:v>'62</c:v>
                </c:pt>
                <c:pt idx="3">
                  <c:v>1965</c:v>
                </c:pt>
                <c:pt idx="8">
                  <c:v>1970</c:v>
                </c:pt>
                <c:pt idx="13">
                  <c:v>1975</c:v>
                </c:pt>
                <c:pt idx="18">
                  <c:v>1980</c:v>
                </c:pt>
                <c:pt idx="23">
                  <c:v>1985</c:v>
                </c:pt>
                <c:pt idx="28">
                  <c:v>1990</c:v>
                </c:pt>
                <c:pt idx="33">
                  <c:v>1995</c:v>
                </c:pt>
                <c:pt idx="38">
                  <c:v>2000</c:v>
                </c:pt>
                <c:pt idx="43">
                  <c:v>2005</c:v>
                </c:pt>
                <c:pt idx="48">
                  <c:v>2010</c:v>
                </c:pt>
                <c:pt idx="53">
                  <c:v>2015</c:v>
                </c:pt>
                <c:pt idx="58">
                  <c:v>2020</c:v>
                </c:pt>
                <c:pt idx="63">
                  <c:v>2025</c:v>
                </c:pt>
                <c:pt idx="68">
                  <c:v>2030</c:v>
                </c:pt>
              </c:strCache>
            </c:strRef>
          </c:cat>
          <c:val>
            <c:numRef>
              <c:f>'Area and Line'!$F$12:$F$80</c:f>
              <c:numCache>
                <c:formatCode>0</c:formatCode>
                <c:ptCount val="69"/>
                <c:pt idx="0">
                  <c:v>17.600000000000001</c:v>
                </c:pt>
                <c:pt idx="1">
                  <c:v>17.7</c:v>
                </c:pt>
                <c:pt idx="2">
                  <c:v>17.3</c:v>
                </c:pt>
                <c:pt idx="3">
                  <c:v>17.2</c:v>
                </c:pt>
                <c:pt idx="4">
                  <c:v>17.8</c:v>
                </c:pt>
                <c:pt idx="5">
                  <c:v>18.100000000000001</c:v>
                </c:pt>
                <c:pt idx="6">
                  <c:v>18.7</c:v>
                </c:pt>
                <c:pt idx="7">
                  <c:v>19.3</c:v>
                </c:pt>
                <c:pt idx="8">
                  <c:v>18.3</c:v>
                </c:pt>
                <c:pt idx="9">
                  <c:v>17.5</c:v>
                </c:pt>
                <c:pt idx="10">
                  <c:v>17.7</c:v>
                </c:pt>
                <c:pt idx="11">
                  <c:v>17.899999999999999</c:v>
                </c:pt>
                <c:pt idx="12">
                  <c:v>18.100000000000001</c:v>
                </c:pt>
                <c:pt idx="13">
                  <c:v>17.600000000000001</c:v>
                </c:pt>
                <c:pt idx="14">
                  <c:v>17.899999999999999</c:v>
                </c:pt>
                <c:pt idx="15">
                  <c:v>18.100000000000001</c:v>
                </c:pt>
                <c:pt idx="16">
                  <c:v>18.100000000000001</c:v>
                </c:pt>
                <c:pt idx="17">
                  <c:v>18.600000000000001</c:v>
                </c:pt>
                <c:pt idx="18">
                  <c:v>19.3</c:v>
                </c:pt>
                <c:pt idx="19">
                  <c:v>19.3</c:v>
                </c:pt>
                <c:pt idx="20">
                  <c:v>18.899999999999999</c:v>
                </c:pt>
                <c:pt idx="21">
                  <c:v>17.5</c:v>
                </c:pt>
                <c:pt idx="22">
                  <c:v>17.399999999999999</c:v>
                </c:pt>
                <c:pt idx="23">
                  <c:v>17.600000000000001</c:v>
                </c:pt>
                <c:pt idx="24">
                  <c:v>17.7</c:v>
                </c:pt>
                <c:pt idx="25">
                  <c:v>18.3</c:v>
                </c:pt>
                <c:pt idx="26">
                  <c:v>18.2</c:v>
                </c:pt>
                <c:pt idx="27">
                  <c:v>18.3</c:v>
                </c:pt>
                <c:pt idx="28">
                  <c:v>17.899999999999999</c:v>
                </c:pt>
                <c:pt idx="29">
                  <c:v>17.8</c:v>
                </c:pt>
                <c:pt idx="30">
                  <c:v>17.5</c:v>
                </c:pt>
                <c:pt idx="31">
                  <c:v>17.7</c:v>
                </c:pt>
                <c:pt idx="32">
                  <c:v>18.100000000000001</c:v>
                </c:pt>
                <c:pt idx="33">
                  <c:v>18.600000000000001</c:v>
                </c:pt>
                <c:pt idx="34">
                  <c:v>19</c:v>
                </c:pt>
                <c:pt idx="35">
                  <c:v>19.5</c:v>
                </c:pt>
                <c:pt idx="36">
                  <c:v>20</c:v>
                </c:pt>
                <c:pt idx="37">
                  <c:v>20.3</c:v>
                </c:pt>
                <c:pt idx="38">
                  <c:v>20.6</c:v>
                </c:pt>
                <c:pt idx="39">
                  <c:v>19.3</c:v>
                </c:pt>
                <c:pt idx="40">
                  <c:v>17.5</c:v>
                </c:pt>
                <c:pt idx="41">
                  <c:v>16.5</c:v>
                </c:pt>
                <c:pt idx="42">
                  <c:v>16.600000000000001</c:v>
                </c:pt>
                <c:pt idx="43">
                  <c:v>17.8</c:v>
                </c:pt>
                <c:pt idx="44">
                  <c:v>18.399999999999999</c:v>
                </c:pt>
                <c:pt idx="45">
                  <c:v>18.899999999999999</c:v>
                </c:pt>
                <c:pt idx="46">
                  <c:v>18.899999999999999</c:v>
                </c:pt>
                <c:pt idx="47">
                  <c:v>18.600000000000001</c:v>
                </c:pt>
                <c:pt idx="48">
                  <c:v>18.399999999999999</c:v>
                </c:pt>
                <c:pt idx="49">
                  <c:v>18.5</c:v>
                </c:pt>
                <c:pt idx="50">
                  <c:v>18.399999999999999</c:v>
                </c:pt>
                <c:pt idx="51">
                  <c:v>18.3</c:v>
                </c:pt>
                <c:pt idx="52">
                  <c:v>18.3</c:v>
                </c:pt>
                <c:pt idx="53">
                  <c:v>18.399999999999999</c:v>
                </c:pt>
                <c:pt idx="54">
                  <c:v>18.5</c:v>
                </c:pt>
                <c:pt idx="55">
                  <c:v>18.5</c:v>
                </c:pt>
                <c:pt idx="56">
                  <c:v>18.5</c:v>
                </c:pt>
                <c:pt idx="57">
                  <c:v>18.600000000000001</c:v>
                </c:pt>
                <c:pt idx="58">
                  <c:v>18.600000000000001</c:v>
                </c:pt>
                <c:pt idx="59">
                  <c:v>18.600000000000001</c:v>
                </c:pt>
                <c:pt idx="60">
                  <c:v>18.600000000000001</c:v>
                </c:pt>
                <c:pt idx="61">
                  <c:v>18.7</c:v>
                </c:pt>
                <c:pt idx="62">
                  <c:v>18.600000000000001</c:v>
                </c:pt>
                <c:pt idx="63">
                  <c:v>18.7</c:v>
                </c:pt>
                <c:pt idx="64">
                  <c:v>18.7</c:v>
                </c:pt>
                <c:pt idx="65">
                  <c:v>18.7</c:v>
                </c:pt>
                <c:pt idx="66">
                  <c:v>18.8</c:v>
                </c:pt>
                <c:pt idx="67">
                  <c:v>18.899999999999999</c:v>
                </c:pt>
                <c:pt idx="68">
                  <c:v>18.899999999999999</c:v>
                </c:pt>
              </c:numCache>
            </c:numRef>
          </c:val>
          <c:smooth val="0"/>
          <c:extLst>
            <c:ext xmlns:c16="http://schemas.microsoft.com/office/drawing/2014/chart" uri="{C3380CC4-5D6E-409C-BE32-E72D297353CC}">
              <c16:uniqueId val="{00000004-7119-4A4A-94AB-28B04BAF6574}"/>
            </c:ext>
          </c:extLst>
        </c:ser>
        <c:dLbls>
          <c:showLegendKey val="0"/>
          <c:showVal val="0"/>
          <c:showCatName val="0"/>
          <c:showSerName val="0"/>
          <c:showPercent val="0"/>
          <c:showBubbleSize val="0"/>
        </c:dLbls>
        <c:marker val="1"/>
        <c:smooth val="0"/>
        <c:axId val="526171535"/>
        <c:axId val="526174895"/>
      </c:lineChart>
      <c:catAx>
        <c:axId val="526171535"/>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74895"/>
        <c:crosses val="autoZero"/>
        <c:auto val="1"/>
        <c:lblAlgn val="ctr"/>
        <c:lblOffset val="100"/>
        <c:noMultiLvlLbl val="0"/>
      </c:catAx>
      <c:valAx>
        <c:axId val="526174895"/>
        <c:scaling>
          <c:orientation val="minMax"/>
        </c:scaling>
        <c:delete val="0"/>
        <c:axPos val="l"/>
        <c:majorGridlines>
          <c:spPr>
            <a:ln w="12700" cap="flat" cmpd="sng" algn="ctr">
              <a:solidFill>
                <a:srgbClr val="DDDDDD"/>
              </a:solidFill>
              <a:prstDash val="solid"/>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526171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932792052015952E-2"/>
          <c:y val="0.2104527697050487"/>
          <c:w val="0.7754650042188509"/>
          <c:h val="0.6131137689019156"/>
        </c:manualLayout>
      </c:layout>
      <c:areaChart>
        <c:grouping val="stacked"/>
        <c:varyColors val="0"/>
        <c:ser>
          <c:idx val="0"/>
          <c:order val="0"/>
          <c:tx>
            <c:strRef>
              <c:f>'Area 100%'!$B$3</c:f>
              <c:strCache>
                <c:ptCount val="1"/>
                <c:pt idx="0">
                  <c:v>Individual income taxes</c:v>
                </c:pt>
              </c:strCache>
            </c:strRef>
          </c:tx>
          <c:spPr>
            <a:solidFill>
              <a:srgbClr val="174A7C"/>
            </a:solidFill>
            <a:ln>
              <a:noFill/>
            </a:ln>
            <a:effectLst/>
          </c:spPr>
          <c:cat>
            <c:numRef>
              <c:f>'Area 100%'!$A$4:$A$64</c:f>
              <c:numCache>
                <c:formatCode>General</c:formatCode>
                <c:ptCount val="6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numCache>
            </c:numRef>
          </c:cat>
          <c:val>
            <c:numRef>
              <c:f>'Area 100%'!$B$4:$B$64</c:f>
              <c:numCache>
                <c:formatCode>0.00%</c:formatCode>
                <c:ptCount val="61"/>
                <c:pt idx="0">
                  <c:v>0.39900000000000002</c:v>
                </c:pt>
                <c:pt idx="1">
                  <c:v>0.41899999999999998</c:v>
                </c:pt>
                <c:pt idx="2">
                  <c:v>0.42199999999999999</c:v>
                </c:pt>
                <c:pt idx="3">
                  <c:v>0.42799999999999999</c:v>
                </c:pt>
                <c:pt idx="4">
                  <c:v>0.42399999999999999</c:v>
                </c:pt>
                <c:pt idx="5">
                  <c:v>0.439</c:v>
                </c:pt>
                <c:pt idx="6">
                  <c:v>0.432</c:v>
                </c:pt>
                <c:pt idx="7">
                  <c:v>0.44500000000000001</c:v>
                </c:pt>
                <c:pt idx="8">
                  <c:v>0.436</c:v>
                </c:pt>
                <c:pt idx="9">
                  <c:v>0.46300000000000002</c:v>
                </c:pt>
                <c:pt idx="10">
                  <c:v>0.44</c:v>
                </c:pt>
                <c:pt idx="11">
                  <c:v>0.438</c:v>
                </c:pt>
                <c:pt idx="12">
                  <c:v>0.45700000000000002</c:v>
                </c:pt>
                <c:pt idx="13">
                  <c:v>0.44700000000000001</c:v>
                </c:pt>
                <c:pt idx="14">
                  <c:v>0.432</c:v>
                </c:pt>
                <c:pt idx="15">
                  <c:v>0.41799999999999998</c:v>
                </c:pt>
                <c:pt idx="16">
                  <c:v>0.42399999999999999</c:v>
                </c:pt>
                <c:pt idx="17">
                  <c:v>0.41299999999999998</c:v>
                </c:pt>
                <c:pt idx="18">
                  <c:v>0.44900000000000001</c:v>
                </c:pt>
                <c:pt idx="19">
                  <c:v>0.46700000000000003</c:v>
                </c:pt>
                <c:pt idx="20">
                  <c:v>0.46899999999999997</c:v>
                </c:pt>
                <c:pt idx="21">
                  <c:v>0.46100000000000002</c:v>
                </c:pt>
                <c:pt idx="22">
                  <c:v>0.45700000000000002</c:v>
                </c:pt>
                <c:pt idx="23">
                  <c:v>0.44700000000000001</c:v>
                </c:pt>
                <c:pt idx="24">
                  <c:v>0.45200000000000001</c:v>
                </c:pt>
                <c:pt idx="25">
                  <c:v>0.439</c:v>
                </c:pt>
                <c:pt idx="26">
                  <c:v>0.442</c:v>
                </c:pt>
                <c:pt idx="27">
                  <c:v>0.443</c:v>
                </c:pt>
                <c:pt idx="28">
                  <c:v>0.45300000000000001</c:v>
                </c:pt>
                <c:pt idx="29">
                  <c:v>0.47</c:v>
                </c:pt>
                <c:pt idx="30">
                  <c:v>0.47199999999999998</c:v>
                </c:pt>
                <c:pt idx="31">
                  <c:v>0.47699999999999998</c:v>
                </c:pt>
                <c:pt idx="32">
                  <c:v>0.48199999999999998</c:v>
                </c:pt>
                <c:pt idx="33">
                  <c:v>0.48099999999999998</c:v>
                </c:pt>
                <c:pt idx="34">
                  <c:v>0.44800000000000001</c:v>
                </c:pt>
                <c:pt idx="35">
                  <c:v>0.45600000000000002</c:v>
                </c:pt>
                <c:pt idx="36">
                  <c:v>0.45400000000000001</c:v>
                </c:pt>
                <c:pt idx="37">
                  <c:v>0.46</c:v>
                </c:pt>
                <c:pt idx="38">
                  <c:v>0.441</c:v>
                </c:pt>
                <c:pt idx="39">
                  <c:v>0.45</c:v>
                </c:pt>
                <c:pt idx="40">
                  <c:v>0.45200000000000001</c:v>
                </c:pt>
                <c:pt idx="41">
                  <c:v>0.443</c:v>
                </c:pt>
                <c:pt idx="42">
                  <c:v>0.436</c:v>
                </c:pt>
                <c:pt idx="43">
                  <c:v>0.442</c:v>
                </c:pt>
                <c:pt idx="44">
                  <c:v>0.43099999999999999</c:v>
                </c:pt>
                <c:pt idx="45">
                  <c:v>0.437</c:v>
                </c:pt>
                <c:pt idx="46">
                  <c:v>0.45200000000000001</c:v>
                </c:pt>
                <c:pt idx="47">
                  <c:v>0.46700000000000003</c:v>
                </c:pt>
                <c:pt idx="48">
                  <c:v>0.48099999999999998</c:v>
                </c:pt>
                <c:pt idx="49">
                  <c:v>0.48099999999999998</c:v>
                </c:pt>
                <c:pt idx="50">
                  <c:v>0.496</c:v>
                </c:pt>
                <c:pt idx="51">
                  <c:v>0.499</c:v>
                </c:pt>
                <c:pt idx="52">
                  <c:v>0.46300000000000002</c:v>
                </c:pt>
                <c:pt idx="53">
                  <c:v>0.44500000000000001</c:v>
                </c:pt>
                <c:pt idx="54">
                  <c:v>0.43</c:v>
                </c:pt>
                <c:pt idx="55">
                  <c:v>0.43099999999999999</c:v>
                </c:pt>
                <c:pt idx="56">
                  <c:v>0.434</c:v>
                </c:pt>
                <c:pt idx="57">
                  <c:v>0.45300000000000001</c:v>
                </c:pt>
                <c:pt idx="58">
                  <c:v>0.45400000000000001</c:v>
                </c:pt>
                <c:pt idx="59">
                  <c:v>0.435</c:v>
                </c:pt>
                <c:pt idx="60">
                  <c:v>0.41499999999999998</c:v>
                </c:pt>
              </c:numCache>
            </c:numRef>
          </c:val>
          <c:extLst>
            <c:ext xmlns:c16="http://schemas.microsoft.com/office/drawing/2014/chart" uri="{C3380CC4-5D6E-409C-BE32-E72D297353CC}">
              <c16:uniqueId val="{00000000-91F3-4BD6-854D-9C4C34EB8C82}"/>
            </c:ext>
          </c:extLst>
        </c:ser>
        <c:ser>
          <c:idx val="1"/>
          <c:order val="1"/>
          <c:tx>
            <c:strRef>
              <c:f>'Area 100%'!$C$3</c:f>
              <c:strCache>
                <c:ptCount val="1"/>
                <c:pt idx="0">
                  <c:v>Corporation income taxes</c:v>
                </c:pt>
              </c:strCache>
            </c:strRef>
          </c:tx>
          <c:spPr>
            <a:solidFill>
              <a:srgbClr val="F0573E"/>
            </a:solidFill>
            <a:ln>
              <a:noFill/>
            </a:ln>
            <a:effectLst/>
          </c:spPr>
          <c:cat>
            <c:numRef>
              <c:f>'Area 100%'!$A$4:$A$64</c:f>
              <c:numCache>
                <c:formatCode>General</c:formatCode>
                <c:ptCount val="6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numCache>
            </c:numRef>
          </c:cat>
          <c:val>
            <c:numRef>
              <c:f>'Area 100%'!$C$4:$C$64</c:f>
              <c:numCache>
                <c:formatCode>0.00%</c:formatCode>
                <c:ptCount val="61"/>
                <c:pt idx="0">
                  <c:v>0.26500000000000001</c:v>
                </c:pt>
                <c:pt idx="1">
                  <c:v>0.27300000000000002</c:v>
                </c:pt>
                <c:pt idx="2">
                  <c:v>0.32100000000000001</c:v>
                </c:pt>
                <c:pt idx="3">
                  <c:v>0.30499999999999999</c:v>
                </c:pt>
                <c:pt idx="4">
                  <c:v>0.30299999999999999</c:v>
                </c:pt>
                <c:pt idx="5">
                  <c:v>0.27300000000000002</c:v>
                </c:pt>
                <c:pt idx="6">
                  <c:v>0.28000000000000003</c:v>
                </c:pt>
                <c:pt idx="7">
                  <c:v>0.26500000000000001</c:v>
                </c:pt>
                <c:pt idx="8">
                  <c:v>0.252</c:v>
                </c:pt>
                <c:pt idx="9">
                  <c:v>0.218</c:v>
                </c:pt>
                <c:pt idx="10">
                  <c:v>0.23200000000000001</c:v>
                </c:pt>
                <c:pt idx="11">
                  <c:v>0.222</c:v>
                </c:pt>
                <c:pt idx="12">
                  <c:v>0.20599999999999999</c:v>
                </c:pt>
                <c:pt idx="13">
                  <c:v>0.20300000000000001</c:v>
                </c:pt>
                <c:pt idx="14">
                  <c:v>0.20899999999999999</c:v>
                </c:pt>
                <c:pt idx="15">
                  <c:v>0.218</c:v>
                </c:pt>
                <c:pt idx="16">
                  <c:v>0.23</c:v>
                </c:pt>
                <c:pt idx="17">
                  <c:v>0.22800000000000001</c:v>
                </c:pt>
                <c:pt idx="18">
                  <c:v>0.187</c:v>
                </c:pt>
                <c:pt idx="19">
                  <c:v>0.19600000000000001</c:v>
                </c:pt>
                <c:pt idx="20">
                  <c:v>0.17</c:v>
                </c:pt>
                <c:pt idx="21">
                  <c:v>0.14299999999999999</c:v>
                </c:pt>
                <c:pt idx="22">
                  <c:v>0.155</c:v>
                </c:pt>
                <c:pt idx="23">
                  <c:v>0.157</c:v>
                </c:pt>
                <c:pt idx="24">
                  <c:v>0.14699999999999999</c:v>
                </c:pt>
                <c:pt idx="25">
                  <c:v>0.14599999999999999</c:v>
                </c:pt>
                <c:pt idx="26">
                  <c:v>0.13900000000000001</c:v>
                </c:pt>
                <c:pt idx="27">
                  <c:v>0.154</c:v>
                </c:pt>
                <c:pt idx="28">
                  <c:v>0.15</c:v>
                </c:pt>
                <c:pt idx="29">
                  <c:v>0.14199999999999999</c:v>
                </c:pt>
                <c:pt idx="30">
                  <c:v>0.125</c:v>
                </c:pt>
                <c:pt idx="31">
                  <c:v>0.10199999999999999</c:v>
                </c:pt>
                <c:pt idx="32">
                  <c:v>0.08</c:v>
                </c:pt>
                <c:pt idx="33">
                  <c:v>6.2E-2</c:v>
                </c:pt>
                <c:pt idx="34">
                  <c:v>8.5000000000000006E-2</c:v>
                </c:pt>
                <c:pt idx="35">
                  <c:v>8.4000000000000005E-2</c:v>
                </c:pt>
                <c:pt idx="36">
                  <c:v>8.2000000000000003E-2</c:v>
                </c:pt>
                <c:pt idx="37">
                  <c:v>9.8000000000000004E-2</c:v>
                </c:pt>
                <c:pt idx="38">
                  <c:v>0.104</c:v>
                </c:pt>
                <c:pt idx="39">
                  <c:v>0.104</c:v>
                </c:pt>
                <c:pt idx="40">
                  <c:v>9.0999999999999998E-2</c:v>
                </c:pt>
                <c:pt idx="41">
                  <c:v>9.2999999999999999E-2</c:v>
                </c:pt>
                <c:pt idx="42">
                  <c:v>9.1999999999999998E-2</c:v>
                </c:pt>
                <c:pt idx="43">
                  <c:v>0.10199999999999999</c:v>
                </c:pt>
                <c:pt idx="44">
                  <c:v>0.112</c:v>
                </c:pt>
                <c:pt idx="45">
                  <c:v>0.11600000000000001</c:v>
                </c:pt>
                <c:pt idx="46">
                  <c:v>0.11799999999999999</c:v>
                </c:pt>
                <c:pt idx="47">
                  <c:v>0.115</c:v>
                </c:pt>
                <c:pt idx="48">
                  <c:v>0.11</c:v>
                </c:pt>
                <c:pt idx="49">
                  <c:v>0.10100000000000001</c:v>
                </c:pt>
                <c:pt idx="50">
                  <c:v>0.10199999999999999</c:v>
                </c:pt>
                <c:pt idx="51">
                  <c:v>7.5999999999999998E-2</c:v>
                </c:pt>
                <c:pt idx="52">
                  <c:v>0.08</c:v>
                </c:pt>
                <c:pt idx="53">
                  <c:v>7.3999999999999996E-2</c:v>
                </c:pt>
                <c:pt idx="54">
                  <c:v>0.10100000000000001</c:v>
                </c:pt>
                <c:pt idx="55">
                  <c:v>0.129</c:v>
                </c:pt>
                <c:pt idx="56">
                  <c:v>0.14699999999999999</c:v>
                </c:pt>
                <c:pt idx="57">
                  <c:v>0.14399999999999999</c:v>
                </c:pt>
                <c:pt idx="58">
                  <c:v>0.121</c:v>
                </c:pt>
                <c:pt idx="59">
                  <c:v>6.6000000000000003E-2</c:v>
                </c:pt>
                <c:pt idx="60">
                  <c:v>8.8999999999999996E-2</c:v>
                </c:pt>
              </c:numCache>
            </c:numRef>
          </c:val>
          <c:extLst>
            <c:ext xmlns:c16="http://schemas.microsoft.com/office/drawing/2014/chart" uri="{C3380CC4-5D6E-409C-BE32-E72D297353CC}">
              <c16:uniqueId val="{00000001-91F3-4BD6-854D-9C4C34EB8C82}"/>
            </c:ext>
          </c:extLst>
        </c:ser>
        <c:ser>
          <c:idx val="2"/>
          <c:order val="2"/>
          <c:tx>
            <c:strRef>
              <c:f>'Area 100%'!$D$3</c:f>
              <c:strCache>
                <c:ptCount val="1"/>
                <c:pt idx="0">
                  <c:v>Payroll taxes</c:v>
                </c:pt>
              </c:strCache>
            </c:strRef>
          </c:tx>
          <c:spPr>
            <a:solidFill>
              <a:srgbClr val="FCB64B"/>
            </a:solidFill>
            <a:ln>
              <a:noFill/>
            </a:ln>
            <a:effectLst/>
          </c:spPr>
          <c:cat>
            <c:numRef>
              <c:f>'Area 100%'!$A$4:$A$64</c:f>
              <c:numCache>
                <c:formatCode>General</c:formatCode>
                <c:ptCount val="6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numCache>
            </c:numRef>
          </c:cat>
          <c:val>
            <c:numRef>
              <c:f>'Area 100%'!$D$4:$D$64</c:f>
              <c:numCache>
                <c:formatCode>0.00%</c:formatCode>
                <c:ptCount val="61"/>
                <c:pt idx="0">
                  <c:v>0.11</c:v>
                </c:pt>
                <c:pt idx="1">
                  <c:v>0.11</c:v>
                </c:pt>
                <c:pt idx="2">
                  <c:v>9.7000000000000003E-2</c:v>
                </c:pt>
                <c:pt idx="3">
                  <c:v>9.8000000000000004E-2</c:v>
                </c:pt>
                <c:pt idx="4">
                  <c:v>0.10299999999999999</c:v>
                </c:pt>
                <c:pt idx="5">
                  <c:v>0.12</c:v>
                </c:pt>
                <c:pt idx="6">
                  <c:v>0.125</c:v>
                </c:pt>
                <c:pt idx="7">
                  <c:v>0.125</c:v>
                </c:pt>
                <c:pt idx="8">
                  <c:v>0.14099999999999999</c:v>
                </c:pt>
                <c:pt idx="9">
                  <c:v>0.14799999999999999</c:v>
                </c:pt>
                <c:pt idx="10">
                  <c:v>0.159</c:v>
                </c:pt>
                <c:pt idx="11">
                  <c:v>0.17399999999999999</c:v>
                </c:pt>
                <c:pt idx="12">
                  <c:v>0.17100000000000001</c:v>
                </c:pt>
                <c:pt idx="13">
                  <c:v>0.186</c:v>
                </c:pt>
                <c:pt idx="14">
                  <c:v>0.19500000000000001</c:v>
                </c:pt>
                <c:pt idx="15">
                  <c:v>0.19</c:v>
                </c:pt>
                <c:pt idx="16">
                  <c:v>0.19500000000000001</c:v>
                </c:pt>
                <c:pt idx="17">
                  <c:v>0.219</c:v>
                </c:pt>
                <c:pt idx="18">
                  <c:v>0.222</c:v>
                </c:pt>
                <c:pt idx="19">
                  <c:v>0.20899999999999999</c:v>
                </c:pt>
                <c:pt idx="20">
                  <c:v>0.23</c:v>
                </c:pt>
                <c:pt idx="21">
                  <c:v>0.253</c:v>
                </c:pt>
                <c:pt idx="22">
                  <c:v>0.254</c:v>
                </c:pt>
                <c:pt idx="23">
                  <c:v>0.27300000000000002</c:v>
                </c:pt>
                <c:pt idx="24">
                  <c:v>0.28499999999999998</c:v>
                </c:pt>
                <c:pt idx="25">
                  <c:v>0.30299999999999999</c:v>
                </c:pt>
                <c:pt idx="26">
                  <c:v>0.30499999999999999</c:v>
                </c:pt>
                <c:pt idx="27">
                  <c:v>0.29899999999999999</c:v>
                </c:pt>
                <c:pt idx="28">
                  <c:v>0.30299999999999999</c:v>
                </c:pt>
                <c:pt idx="29">
                  <c:v>0.3</c:v>
                </c:pt>
                <c:pt idx="30">
                  <c:v>0.30499999999999999</c:v>
                </c:pt>
                <c:pt idx="31">
                  <c:v>0.30499999999999999</c:v>
                </c:pt>
                <c:pt idx="32">
                  <c:v>0.32600000000000001</c:v>
                </c:pt>
                <c:pt idx="33">
                  <c:v>0.34799999999999998</c:v>
                </c:pt>
                <c:pt idx="34">
                  <c:v>0.35899999999999999</c:v>
                </c:pt>
                <c:pt idx="35">
                  <c:v>0.36099999999999999</c:v>
                </c:pt>
                <c:pt idx="36">
                  <c:v>0.36899999999999999</c:v>
                </c:pt>
                <c:pt idx="37">
                  <c:v>0.35499999999999998</c:v>
                </c:pt>
                <c:pt idx="38">
                  <c:v>0.36799999999999999</c:v>
                </c:pt>
                <c:pt idx="39">
                  <c:v>0.36299999999999999</c:v>
                </c:pt>
                <c:pt idx="40">
                  <c:v>0.36799999999999999</c:v>
                </c:pt>
                <c:pt idx="41">
                  <c:v>0.375</c:v>
                </c:pt>
                <c:pt idx="42">
                  <c:v>0.379</c:v>
                </c:pt>
                <c:pt idx="43">
                  <c:v>0.371</c:v>
                </c:pt>
                <c:pt idx="44">
                  <c:v>0.36699999999999999</c:v>
                </c:pt>
                <c:pt idx="45">
                  <c:v>0.35799999999999998</c:v>
                </c:pt>
                <c:pt idx="46">
                  <c:v>0.35099999999999998</c:v>
                </c:pt>
                <c:pt idx="47">
                  <c:v>0.34200000000000003</c:v>
                </c:pt>
                <c:pt idx="48">
                  <c:v>0.33200000000000002</c:v>
                </c:pt>
                <c:pt idx="49">
                  <c:v>0.33500000000000002</c:v>
                </c:pt>
                <c:pt idx="50">
                  <c:v>0.32200000000000001</c:v>
                </c:pt>
                <c:pt idx="51">
                  <c:v>0.34899999999999998</c:v>
                </c:pt>
                <c:pt idx="52">
                  <c:v>0.378</c:v>
                </c:pt>
                <c:pt idx="53">
                  <c:v>0.4</c:v>
                </c:pt>
                <c:pt idx="54">
                  <c:v>0.39</c:v>
                </c:pt>
                <c:pt idx="55">
                  <c:v>0.36899999999999999</c:v>
                </c:pt>
                <c:pt idx="56">
                  <c:v>0.34799999999999998</c:v>
                </c:pt>
                <c:pt idx="57">
                  <c:v>0.33900000000000002</c:v>
                </c:pt>
                <c:pt idx="58">
                  <c:v>0.35699999999999998</c:v>
                </c:pt>
                <c:pt idx="59">
                  <c:v>0.42299999999999999</c:v>
                </c:pt>
                <c:pt idx="60">
                  <c:v>0.4</c:v>
                </c:pt>
              </c:numCache>
            </c:numRef>
          </c:val>
          <c:extLst>
            <c:ext xmlns:c16="http://schemas.microsoft.com/office/drawing/2014/chart" uri="{C3380CC4-5D6E-409C-BE32-E72D297353CC}">
              <c16:uniqueId val="{00000002-91F3-4BD6-854D-9C4C34EB8C82}"/>
            </c:ext>
          </c:extLst>
        </c:ser>
        <c:ser>
          <c:idx val="3"/>
          <c:order val="3"/>
          <c:tx>
            <c:strRef>
              <c:f>'Area 100%'!$E$3</c:f>
              <c:strCache>
                <c:ptCount val="1"/>
                <c:pt idx="0">
                  <c:v>Excise taxes</c:v>
                </c:pt>
              </c:strCache>
            </c:strRef>
          </c:tx>
          <c:spPr>
            <a:solidFill>
              <a:srgbClr val="008BB0"/>
            </a:solidFill>
            <a:ln>
              <a:noFill/>
            </a:ln>
            <a:effectLst/>
          </c:spPr>
          <c:cat>
            <c:numRef>
              <c:f>'Area 100%'!$A$4:$A$64</c:f>
              <c:numCache>
                <c:formatCode>General</c:formatCode>
                <c:ptCount val="6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numCache>
            </c:numRef>
          </c:cat>
          <c:val>
            <c:numRef>
              <c:f>'Area 100%'!$E$4:$E$64</c:f>
              <c:numCache>
                <c:formatCode>0.00%</c:formatCode>
                <c:ptCount val="61"/>
                <c:pt idx="0">
                  <c:v>0.191</c:v>
                </c:pt>
                <c:pt idx="1">
                  <c:v>0.16800000000000001</c:v>
                </c:pt>
                <c:pt idx="2">
                  <c:v>0.13400000000000001</c:v>
                </c:pt>
                <c:pt idx="3">
                  <c:v>0.14199999999999999</c:v>
                </c:pt>
                <c:pt idx="4">
                  <c:v>0.14299999999999999</c:v>
                </c:pt>
                <c:pt idx="5">
                  <c:v>0.14000000000000001</c:v>
                </c:pt>
                <c:pt idx="6">
                  <c:v>0.13300000000000001</c:v>
                </c:pt>
                <c:pt idx="7">
                  <c:v>0.13200000000000001</c:v>
                </c:pt>
                <c:pt idx="8">
                  <c:v>0.13400000000000001</c:v>
                </c:pt>
                <c:pt idx="9">
                  <c:v>0.13300000000000001</c:v>
                </c:pt>
                <c:pt idx="10">
                  <c:v>0.126</c:v>
                </c:pt>
                <c:pt idx="11">
                  <c:v>0.126</c:v>
                </c:pt>
                <c:pt idx="12">
                  <c:v>0.126</c:v>
                </c:pt>
                <c:pt idx="13">
                  <c:v>0.124</c:v>
                </c:pt>
                <c:pt idx="14">
                  <c:v>0.122</c:v>
                </c:pt>
                <c:pt idx="15">
                  <c:v>0.125</c:v>
                </c:pt>
                <c:pt idx="16">
                  <c:v>0.1</c:v>
                </c:pt>
                <c:pt idx="17">
                  <c:v>9.1999999999999998E-2</c:v>
                </c:pt>
                <c:pt idx="18">
                  <c:v>9.1999999999999998E-2</c:v>
                </c:pt>
                <c:pt idx="19">
                  <c:v>8.1000000000000003E-2</c:v>
                </c:pt>
                <c:pt idx="20">
                  <c:v>8.1000000000000003E-2</c:v>
                </c:pt>
                <c:pt idx="21">
                  <c:v>8.8999999999999996E-2</c:v>
                </c:pt>
                <c:pt idx="22">
                  <c:v>7.4999999999999997E-2</c:v>
                </c:pt>
                <c:pt idx="23">
                  <c:v>7.0000000000000007E-2</c:v>
                </c:pt>
                <c:pt idx="24">
                  <c:v>6.4000000000000001E-2</c:v>
                </c:pt>
                <c:pt idx="25">
                  <c:v>5.8999999999999997E-2</c:v>
                </c:pt>
                <c:pt idx="26">
                  <c:v>5.7000000000000002E-2</c:v>
                </c:pt>
                <c:pt idx="27">
                  <c:v>4.9000000000000002E-2</c:v>
                </c:pt>
                <c:pt idx="28">
                  <c:v>4.5999999999999999E-2</c:v>
                </c:pt>
                <c:pt idx="29">
                  <c:v>0.04</c:v>
                </c:pt>
                <c:pt idx="30">
                  <c:v>4.7E-2</c:v>
                </c:pt>
                <c:pt idx="31">
                  <c:v>6.8000000000000005E-2</c:v>
                </c:pt>
                <c:pt idx="32">
                  <c:v>5.8999999999999997E-2</c:v>
                </c:pt>
                <c:pt idx="33">
                  <c:v>5.8999999999999997E-2</c:v>
                </c:pt>
                <c:pt idx="34">
                  <c:v>5.6000000000000001E-2</c:v>
                </c:pt>
                <c:pt idx="35">
                  <c:v>4.9000000000000002E-2</c:v>
                </c:pt>
                <c:pt idx="36">
                  <c:v>4.2999999999999997E-2</c:v>
                </c:pt>
                <c:pt idx="37">
                  <c:v>3.7999999999999999E-2</c:v>
                </c:pt>
                <c:pt idx="38">
                  <c:v>3.9E-2</c:v>
                </c:pt>
                <c:pt idx="39">
                  <c:v>3.5000000000000003E-2</c:v>
                </c:pt>
                <c:pt idx="40">
                  <c:v>3.4000000000000002E-2</c:v>
                </c:pt>
                <c:pt idx="41">
                  <c:v>0.04</c:v>
                </c:pt>
                <c:pt idx="42">
                  <c:v>4.2000000000000003E-2</c:v>
                </c:pt>
                <c:pt idx="43">
                  <c:v>4.2000000000000003E-2</c:v>
                </c:pt>
                <c:pt idx="44">
                  <c:v>4.3999999999999997E-2</c:v>
                </c:pt>
                <c:pt idx="45">
                  <c:v>4.2999999999999997E-2</c:v>
                </c:pt>
                <c:pt idx="46">
                  <c:v>3.6999999999999998E-2</c:v>
                </c:pt>
                <c:pt idx="47">
                  <c:v>3.5999999999999997E-2</c:v>
                </c:pt>
                <c:pt idx="48">
                  <c:v>3.3000000000000002E-2</c:v>
                </c:pt>
                <c:pt idx="49">
                  <c:v>3.9E-2</c:v>
                </c:pt>
                <c:pt idx="50">
                  <c:v>3.4000000000000002E-2</c:v>
                </c:pt>
                <c:pt idx="51">
                  <c:v>3.3000000000000002E-2</c:v>
                </c:pt>
                <c:pt idx="52">
                  <c:v>3.5999999999999997E-2</c:v>
                </c:pt>
                <c:pt idx="53">
                  <c:v>3.7999999999999999E-2</c:v>
                </c:pt>
                <c:pt idx="54">
                  <c:v>3.6999999999999998E-2</c:v>
                </c:pt>
                <c:pt idx="55">
                  <c:v>3.4000000000000002E-2</c:v>
                </c:pt>
                <c:pt idx="56">
                  <c:v>3.1E-2</c:v>
                </c:pt>
                <c:pt idx="57">
                  <c:v>2.5000000000000001E-2</c:v>
                </c:pt>
                <c:pt idx="58">
                  <c:v>2.7E-2</c:v>
                </c:pt>
                <c:pt idx="59">
                  <c:v>0.03</c:v>
                </c:pt>
                <c:pt idx="60">
                  <c:v>3.1E-2</c:v>
                </c:pt>
              </c:numCache>
            </c:numRef>
          </c:val>
          <c:extLst>
            <c:ext xmlns:c16="http://schemas.microsoft.com/office/drawing/2014/chart" uri="{C3380CC4-5D6E-409C-BE32-E72D297353CC}">
              <c16:uniqueId val="{00000003-91F3-4BD6-854D-9C4C34EB8C82}"/>
            </c:ext>
          </c:extLst>
        </c:ser>
        <c:ser>
          <c:idx val="4"/>
          <c:order val="4"/>
          <c:tx>
            <c:strRef>
              <c:f>'Area 100%'!$F$3</c:f>
              <c:strCache>
                <c:ptCount val="1"/>
                <c:pt idx="0">
                  <c:v>Other</c:v>
                </c:pt>
              </c:strCache>
            </c:strRef>
          </c:tx>
          <c:spPr>
            <a:solidFill>
              <a:srgbClr val="BCBEC0"/>
            </a:solidFill>
            <a:ln>
              <a:noFill/>
            </a:ln>
            <a:effectLst/>
          </c:spPr>
          <c:cat>
            <c:numRef>
              <c:f>'Area 100%'!$A$4:$A$64</c:f>
              <c:numCache>
                <c:formatCode>General</c:formatCode>
                <c:ptCount val="6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numCache>
            </c:numRef>
          </c:cat>
          <c:val>
            <c:numRef>
              <c:f>'Area 100%'!$F$4:$F$64</c:f>
              <c:numCache>
                <c:formatCode>0.00%</c:formatCode>
                <c:ptCount val="61"/>
                <c:pt idx="0">
                  <c:v>3.4000000000000002E-2</c:v>
                </c:pt>
                <c:pt idx="1">
                  <c:v>3.1E-2</c:v>
                </c:pt>
                <c:pt idx="2">
                  <c:v>2.5999999999999999E-2</c:v>
                </c:pt>
                <c:pt idx="3">
                  <c:v>2.7E-2</c:v>
                </c:pt>
                <c:pt idx="4">
                  <c:v>2.7E-2</c:v>
                </c:pt>
                <c:pt idx="5">
                  <c:v>2.8000000000000001E-2</c:v>
                </c:pt>
                <c:pt idx="6">
                  <c:v>0.03</c:v>
                </c:pt>
                <c:pt idx="7">
                  <c:v>3.3000000000000002E-2</c:v>
                </c:pt>
                <c:pt idx="8">
                  <c:v>3.6999999999999998E-2</c:v>
                </c:pt>
                <c:pt idx="9">
                  <c:v>3.6999999999999998E-2</c:v>
                </c:pt>
                <c:pt idx="10">
                  <c:v>4.2000000000000003E-2</c:v>
                </c:pt>
                <c:pt idx="11">
                  <c:v>0.04</c:v>
                </c:pt>
                <c:pt idx="12">
                  <c:v>0.04</c:v>
                </c:pt>
                <c:pt idx="13">
                  <c:v>4.1000000000000002E-2</c:v>
                </c:pt>
                <c:pt idx="14">
                  <c:v>4.2000000000000003E-2</c:v>
                </c:pt>
                <c:pt idx="15">
                  <c:v>4.9000000000000002E-2</c:v>
                </c:pt>
                <c:pt idx="16">
                  <c:v>5.0999999999999997E-2</c:v>
                </c:pt>
                <c:pt idx="17">
                  <c:v>4.7E-2</c:v>
                </c:pt>
                <c:pt idx="18">
                  <c:v>0.05</c:v>
                </c:pt>
                <c:pt idx="19">
                  <c:v>4.7E-2</c:v>
                </c:pt>
                <c:pt idx="20">
                  <c:v>4.9000000000000002E-2</c:v>
                </c:pt>
                <c:pt idx="21">
                  <c:v>5.3999999999999999E-2</c:v>
                </c:pt>
                <c:pt idx="22">
                  <c:v>0.06</c:v>
                </c:pt>
                <c:pt idx="23">
                  <c:v>5.1999999999999998E-2</c:v>
                </c:pt>
                <c:pt idx="24">
                  <c:v>5.1999999999999998E-2</c:v>
                </c:pt>
                <c:pt idx="25">
                  <c:v>5.3999999999999999E-2</c:v>
                </c:pt>
                <c:pt idx="26">
                  <c:v>5.8000000000000003E-2</c:v>
                </c:pt>
                <c:pt idx="27">
                  <c:v>5.2999999999999999E-2</c:v>
                </c:pt>
                <c:pt idx="28">
                  <c:v>4.8000000000000001E-2</c:v>
                </c:pt>
                <c:pt idx="29">
                  <c:v>4.8000000000000001E-2</c:v>
                </c:pt>
                <c:pt idx="30">
                  <c:v>5.0999999999999997E-2</c:v>
                </c:pt>
                <c:pt idx="31">
                  <c:v>4.8000000000000001E-2</c:v>
                </c:pt>
                <c:pt idx="32">
                  <c:v>5.2999999999999999E-2</c:v>
                </c:pt>
                <c:pt idx="33">
                  <c:v>0.05</c:v>
                </c:pt>
                <c:pt idx="34">
                  <c:v>5.1999999999999998E-2</c:v>
                </c:pt>
                <c:pt idx="35">
                  <c:v>0.05</c:v>
                </c:pt>
                <c:pt idx="36">
                  <c:v>5.1999999999999998E-2</c:v>
                </c:pt>
                <c:pt idx="37">
                  <c:v>4.9000000000000002E-2</c:v>
                </c:pt>
                <c:pt idx="38">
                  <c:v>4.8000000000000001E-2</c:v>
                </c:pt>
                <c:pt idx="39">
                  <c:v>4.9000000000000002E-2</c:v>
                </c:pt>
                <c:pt idx="40">
                  <c:v>5.3999999999999999E-2</c:v>
                </c:pt>
                <c:pt idx="41">
                  <c:v>4.8000000000000001E-2</c:v>
                </c:pt>
                <c:pt idx="42">
                  <c:v>5.0999999999999997E-2</c:v>
                </c:pt>
                <c:pt idx="43">
                  <c:v>4.3999999999999997E-2</c:v>
                </c:pt>
                <c:pt idx="44">
                  <c:v>4.5999999999999999E-2</c:v>
                </c:pt>
                <c:pt idx="45">
                  <c:v>4.5999999999999999E-2</c:v>
                </c:pt>
                <c:pt idx="46">
                  <c:v>4.2000000000000003E-2</c:v>
                </c:pt>
                <c:pt idx="47">
                  <c:v>0.04</c:v>
                </c:pt>
                <c:pt idx="48">
                  <c:v>4.3999999999999997E-2</c:v>
                </c:pt>
                <c:pt idx="49">
                  <c:v>4.3999999999999997E-2</c:v>
                </c:pt>
                <c:pt idx="50">
                  <c:v>4.4999999999999998E-2</c:v>
                </c:pt>
                <c:pt idx="51">
                  <c:v>4.2999999999999997E-2</c:v>
                </c:pt>
                <c:pt idx="52">
                  <c:v>4.2999999999999997E-2</c:v>
                </c:pt>
                <c:pt idx="53">
                  <c:v>4.2999999999999997E-2</c:v>
                </c:pt>
                <c:pt idx="54">
                  <c:v>4.2000000000000003E-2</c:v>
                </c:pt>
                <c:pt idx="55">
                  <c:v>3.7999999999999999E-2</c:v>
                </c:pt>
                <c:pt idx="56">
                  <c:v>0.04</c:v>
                </c:pt>
                <c:pt idx="57">
                  <c:v>3.9E-2</c:v>
                </c:pt>
                <c:pt idx="58">
                  <c:v>4.2000000000000003E-2</c:v>
                </c:pt>
                <c:pt idx="59">
                  <c:v>4.7E-2</c:v>
                </c:pt>
                <c:pt idx="60">
                  <c:v>6.5000000000000002E-2</c:v>
                </c:pt>
              </c:numCache>
            </c:numRef>
          </c:val>
          <c:extLst>
            <c:ext xmlns:c16="http://schemas.microsoft.com/office/drawing/2014/chart" uri="{C3380CC4-5D6E-409C-BE32-E72D297353CC}">
              <c16:uniqueId val="{00000004-91F3-4BD6-854D-9C4C34EB8C82}"/>
            </c:ext>
          </c:extLst>
        </c:ser>
        <c:dLbls>
          <c:showLegendKey val="0"/>
          <c:showVal val="0"/>
          <c:showCatName val="0"/>
          <c:showSerName val="0"/>
          <c:showPercent val="0"/>
          <c:showBubbleSize val="0"/>
        </c:dLbls>
        <c:axId val="762874927"/>
        <c:axId val="762875407"/>
      </c:areaChart>
      <c:catAx>
        <c:axId val="762874927"/>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875407"/>
        <c:crosses val="autoZero"/>
        <c:auto val="1"/>
        <c:lblAlgn val="ctr"/>
        <c:lblOffset val="100"/>
        <c:noMultiLvlLbl val="0"/>
      </c:catAx>
      <c:valAx>
        <c:axId val="762875407"/>
        <c:scaling>
          <c:orientation val="minMax"/>
          <c:max val="1"/>
        </c:scaling>
        <c:delete val="0"/>
        <c:axPos val="l"/>
        <c:majorGridlines>
          <c:spPr>
            <a:ln w="12700" cap="flat" cmpd="sng" algn="ctr">
              <a:solidFill>
                <a:srgbClr val="DDDDDD"/>
              </a:solidFill>
              <a:prstDash val="solid"/>
              <a:round/>
            </a:ln>
            <a:effectLst/>
          </c:spPr>
        </c:majorGridlines>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874927"/>
        <c:crosses val="autoZero"/>
        <c:crossBetween val="midCat"/>
      </c:valAx>
      <c:spPr>
        <a:noFill/>
        <a:ln>
          <a:noFill/>
        </a:ln>
        <a:effectLst/>
      </c:spPr>
    </c:plotArea>
    <c:legend>
      <c:legendPos val="r"/>
      <c:layout>
        <c:manualLayout>
          <c:xMode val="edge"/>
          <c:yMode val="edge"/>
          <c:x val="0.85605549856889973"/>
          <c:y val="0.1999121659477108"/>
          <c:w val="0.13606517710901181"/>
          <c:h val="0.61989158393844301"/>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914141414141419E-3"/>
          <c:y val="0.1949702067998598"/>
          <c:w val="0.97327441077441079"/>
          <c:h val="0.67910970907816337"/>
        </c:manualLayout>
      </c:layout>
      <c:barChart>
        <c:barDir val="col"/>
        <c:grouping val="clustered"/>
        <c:varyColors val="0"/>
        <c:ser>
          <c:idx val="0"/>
          <c:order val="0"/>
          <c:tx>
            <c:strRef>
              <c:f>'Column Stacked'!$B$13</c:f>
              <c:strCache>
                <c:ptCount val="1"/>
                <c:pt idx="0">
                  <c:v>Salaries and wages</c:v>
                </c:pt>
              </c:strCache>
            </c:strRef>
          </c:tx>
          <c:spPr>
            <a:solidFill>
              <a:srgbClr val="174A7C"/>
            </a:solidFill>
            <a:ln>
              <a:noFill/>
            </a:ln>
            <a:effectLst/>
          </c:spPr>
          <c:invertIfNegative val="0"/>
          <c:cat>
            <c:strRef>
              <c:f>'Column Stacked'!$A$14:$A$21</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Stacked'!$B$14:$B$21</c:f>
              <c:numCache>
                <c:formatCode>General</c:formatCode>
                <c:ptCount val="8"/>
                <c:pt idx="0">
                  <c:v>0.73927726999999999</c:v>
                </c:pt>
                <c:pt idx="1">
                  <c:v>0.79781971299999999</c:v>
                </c:pt>
                <c:pt idx="2">
                  <c:v>0.75897298400000002</c:v>
                </c:pt>
                <c:pt idx="3">
                  <c:v>0.72107784799999997</c:v>
                </c:pt>
                <c:pt idx="4">
                  <c:v>0.53170178700000004</c:v>
                </c:pt>
                <c:pt idx="5">
                  <c:v>0.37686135500000001</c:v>
                </c:pt>
                <c:pt idx="6">
                  <c:v>0.190789666</c:v>
                </c:pt>
                <c:pt idx="7">
                  <c:v>0.159875141</c:v>
                </c:pt>
              </c:numCache>
            </c:numRef>
          </c:val>
          <c:extLst>
            <c:ext xmlns:c16="http://schemas.microsoft.com/office/drawing/2014/chart" uri="{C3380CC4-5D6E-409C-BE32-E72D297353CC}">
              <c16:uniqueId val="{00000000-F65E-40C7-833E-D8D54E86F8C4}"/>
            </c:ext>
          </c:extLst>
        </c:ser>
        <c:ser>
          <c:idx val="1"/>
          <c:order val="1"/>
          <c:tx>
            <c:strRef>
              <c:f>'Column Stacked'!$C$13</c:f>
              <c:strCache>
                <c:ptCount val="1"/>
                <c:pt idx="0">
                  <c:v>Interest and dividends</c:v>
                </c:pt>
              </c:strCache>
            </c:strRef>
          </c:tx>
          <c:spPr>
            <a:solidFill>
              <a:srgbClr val="F0573E"/>
            </a:solidFill>
            <a:ln>
              <a:noFill/>
            </a:ln>
            <a:effectLst/>
          </c:spPr>
          <c:invertIfNegative val="0"/>
          <c:cat>
            <c:strRef>
              <c:f>'Column Stacked'!$A$14:$A$21</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Stacked'!$C$14:$C$21</c:f>
              <c:numCache>
                <c:formatCode>General</c:formatCode>
                <c:ptCount val="8"/>
                <c:pt idx="0">
                  <c:v>2.5533956E-2</c:v>
                </c:pt>
                <c:pt idx="1">
                  <c:v>1.601004E-2</c:v>
                </c:pt>
                <c:pt idx="2">
                  <c:v>1.9287589000000001E-2</c:v>
                </c:pt>
                <c:pt idx="3">
                  <c:v>2.9618833000000001E-2</c:v>
                </c:pt>
                <c:pt idx="4">
                  <c:v>6.0802747999999997E-2</c:v>
                </c:pt>
                <c:pt idx="5">
                  <c:v>8.2941101000000003E-2</c:v>
                </c:pt>
                <c:pt idx="6">
                  <c:v>0.13249165900000001</c:v>
                </c:pt>
                <c:pt idx="7">
                  <c:v>0.14096915099999999</c:v>
                </c:pt>
              </c:numCache>
            </c:numRef>
          </c:val>
          <c:extLst>
            <c:ext xmlns:c16="http://schemas.microsoft.com/office/drawing/2014/chart" uri="{C3380CC4-5D6E-409C-BE32-E72D297353CC}">
              <c16:uniqueId val="{00000001-F65E-40C7-833E-D8D54E86F8C4}"/>
            </c:ext>
          </c:extLst>
        </c:ser>
        <c:ser>
          <c:idx val="2"/>
          <c:order val="2"/>
          <c:tx>
            <c:strRef>
              <c:f>'Column Stacked'!$D$13</c:f>
              <c:strCache>
                <c:ptCount val="1"/>
                <c:pt idx="0">
                  <c:v>Other</c:v>
                </c:pt>
              </c:strCache>
            </c:strRef>
          </c:tx>
          <c:spPr>
            <a:solidFill>
              <a:srgbClr val="FCB64B"/>
            </a:solidFill>
            <a:ln>
              <a:noFill/>
            </a:ln>
            <a:effectLst/>
          </c:spPr>
          <c:invertIfNegative val="0"/>
          <c:cat>
            <c:strRef>
              <c:f>'Column Stacked'!$A$14:$A$21</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Stacked'!$D$14:$D$21</c:f>
              <c:numCache>
                <c:formatCode>General</c:formatCode>
                <c:ptCount val="8"/>
                <c:pt idx="0">
                  <c:v>3.0099707999999999E-2</c:v>
                </c:pt>
                <c:pt idx="1">
                  <c:v>2.0335164999999999E-2</c:v>
                </c:pt>
                <c:pt idx="2">
                  <c:v>1.6116181E-2</c:v>
                </c:pt>
                <c:pt idx="3">
                  <c:v>2.1752209000000002E-2</c:v>
                </c:pt>
                <c:pt idx="4">
                  <c:v>3.0421795000000001E-2</c:v>
                </c:pt>
                <c:pt idx="5">
                  <c:v>3.8728582999999997E-2</c:v>
                </c:pt>
                <c:pt idx="6">
                  <c:v>4.0360284000000003E-2</c:v>
                </c:pt>
                <c:pt idx="7">
                  <c:v>4.0055731999999997E-2</c:v>
                </c:pt>
              </c:numCache>
            </c:numRef>
          </c:val>
          <c:extLst>
            <c:ext xmlns:c16="http://schemas.microsoft.com/office/drawing/2014/chart" uri="{C3380CC4-5D6E-409C-BE32-E72D297353CC}">
              <c16:uniqueId val="{00000002-F65E-40C7-833E-D8D54E86F8C4}"/>
            </c:ext>
          </c:extLst>
        </c:ser>
        <c:ser>
          <c:idx val="3"/>
          <c:order val="3"/>
          <c:tx>
            <c:strRef>
              <c:f>'Column Stacked'!$E$13</c:f>
              <c:strCache>
                <c:ptCount val="1"/>
                <c:pt idx="0">
                  <c:v>Retirement</c:v>
                </c:pt>
              </c:strCache>
            </c:strRef>
          </c:tx>
          <c:spPr>
            <a:solidFill>
              <a:srgbClr val="008BB0"/>
            </a:solidFill>
            <a:ln>
              <a:noFill/>
            </a:ln>
            <a:effectLst/>
          </c:spPr>
          <c:invertIfNegative val="0"/>
          <c:cat>
            <c:strRef>
              <c:f>'Column Stacked'!$A$14:$A$21</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Stacked'!$E$14:$E$21</c:f>
              <c:numCache>
                <c:formatCode>General</c:formatCode>
                <c:ptCount val="8"/>
                <c:pt idx="0">
                  <c:v>0.11742145</c:v>
                </c:pt>
                <c:pt idx="1">
                  <c:v>0.130528372</c:v>
                </c:pt>
                <c:pt idx="2">
                  <c:v>0.16614399699999999</c:v>
                </c:pt>
                <c:pt idx="3">
                  <c:v>0.117725659</c:v>
                </c:pt>
                <c:pt idx="4">
                  <c:v>4.2411385000000003E-2</c:v>
                </c:pt>
                <c:pt idx="5">
                  <c:v>3.1257655000000002E-2</c:v>
                </c:pt>
                <c:pt idx="6">
                  <c:v>9.6025899999999994E-3</c:v>
                </c:pt>
                <c:pt idx="7">
                  <c:v>6.6379999999999998E-3</c:v>
                </c:pt>
              </c:numCache>
            </c:numRef>
          </c:val>
          <c:extLst>
            <c:ext xmlns:c16="http://schemas.microsoft.com/office/drawing/2014/chart" uri="{C3380CC4-5D6E-409C-BE32-E72D297353CC}">
              <c16:uniqueId val="{00000003-F65E-40C7-833E-D8D54E86F8C4}"/>
            </c:ext>
          </c:extLst>
        </c:ser>
        <c:ser>
          <c:idx val="4"/>
          <c:order val="4"/>
          <c:tx>
            <c:strRef>
              <c:f>'Column Stacked'!$F$13</c:f>
              <c:strCache>
                <c:ptCount val="1"/>
                <c:pt idx="0">
                  <c:v>Business income</c:v>
                </c:pt>
              </c:strCache>
            </c:strRef>
          </c:tx>
          <c:spPr>
            <a:solidFill>
              <a:srgbClr val="BCBEC0"/>
            </a:solidFill>
            <a:ln>
              <a:noFill/>
            </a:ln>
            <a:effectLst/>
          </c:spPr>
          <c:invertIfNegative val="0"/>
          <c:cat>
            <c:strRef>
              <c:f>'Column Stacked'!$A$14:$A$21</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Stacked'!$F$14:$F$21</c:f>
              <c:numCache>
                <c:formatCode>General</c:formatCode>
                <c:ptCount val="8"/>
                <c:pt idx="0">
                  <c:v>8.6598817999999994E-2</c:v>
                </c:pt>
                <c:pt idx="1">
                  <c:v>3.2384335E-2</c:v>
                </c:pt>
                <c:pt idx="2">
                  <c:v>3.2981361000000001E-2</c:v>
                </c:pt>
                <c:pt idx="3">
                  <c:v>8.3935307000000001E-2</c:v>
                </c:pt>
                <c:pt idx="4">
                  <c:v>0.23163208699999999</c:v>
                </c:pt>
                <c:pt idx="5">
                  <c:v>0.273865478</c:v>
                </c:pt>
                <c:pt idx="6">
                  <c:v>0.18494052699999999</c:v>
                </c:pt>
                <c:pt idx="7">
                  <c:v>0.170038303</c:v>
                </c:pt>
              </c:numCache>
            </c:numRef>
          </c:val>
          <c:extLst>
            <c:ext xmlns:c16="http://schemas.microsoft.com/office/drawing/2014/chart" uri="{C3380CC4-5D6E-409C-BE32-E72D297353CC}">
              <c16:uniqueId val="{00000004-F65E-40C7-833E-D8D54E86F8C4}"/>
            </c:ext>
          </c:extLst>
        </c:ser>
        <c:ser>
          <c:idx val="5"/>
          <c:order val="5"/>
          <c:tx>
            <c:strRef>
              <c:f>'Column Stacked'!$G$13</c:f>
              <c:strCache>
                <c:ptCount val="1"/>
                <c:pt idx="0">
                  <c:v>Capital gains</c:v>
                </c:pt>
              </c:strCache>
            </c:strRef>
          </c:tx>
          <c:spPr>
            <a:solidFill>
              <a:srgbClr val="000000"/>
            </a:solidFill>
            <a:ln>
              <a:noFill/>
            </a:ln>
            <a:effectLst/>
          </c:spPr>
          <c:invertIfNegative val="0"/>
          <c:cat>
            <c:strRef>
              <c:f>'Column Stacked'!$A$14:$A$21</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Stacked'!$G$14:$G$21</c:f>
              <c:numCache>
                <c:formatCode>General</c:formatCode>
                <c:ptCount val="8"/>
                <c:pt idx="0">
                  <c:v>1.0687979999999999E-3</c:v>
                </c:pt>
                <c:pt idx="1">
                  <c:v>2.9223750000000001E-3</c:v>
                </c:pt>
                <c:pt idx="2">
                  <c:v>6.4978880000000003E-3</c:v>
                </c:pt>
                <c:pt idx="3">
                  <c:v>2.5890144E-2</c:v>
                </c:pt>
                <c:pt idx="4">
                  <c:v>0.103030198</c:v>
                </c:pt>
                <c:pt idx="5">
                  <c:v>0.196345828</c:v>
                </c:pt>
                <c:pt idx="6">
                  <c:v>0.44181527500000001</c:v>
                </c:pt>
                <c:pt idx="7">
                  <c:v>0.48242367200000003</c:v>
                </c:pt>
              </c:numCache>
            </c:numRef>
          </c:val>
          <c:extLst>
            <c:ext xmlns:c16="http://schemas.microsoft.com/office/drawing/2014/chart" uri="{C3380CC4-5D6E-409C-BE32-E72D297353CC}">
              <c16:uniqueId val="{00000005-F65E-40C7-833E-D8D54E86F8C4}"/>
            </c:ext>
          </c:extLst>
        </c:ser>
        <c:dLbls>
          <c:showLegendKey val="0"/>
          <c:showVal val="0"/>
          <c:showCatName val="0"/>
          <c:showSerName val="0"/>
          <c:showPercent val="0"/>
          <c:showBubbleSize val="0"/>
        </c:dLbls>
        <c:gapWidth val="70"/>
        <c:axId val="762883087"/>
        <c:axId val="762871567"/>
      </c:barChart>
      <c:catAx>
        <c:axId val="762883087"/>
        <c:scaling>
          <c:orientation val="minMax"/>
        </c:scaling>
        <c:delete val="0"/>
        <c:axPos val="b"/>
        <c:numFmt formatCode="General" sourceLinked="1"/>
        <c:majorTickMark val="none"/>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871567"/>
        <c:crosses val="autoZero"/>
        <c:auto val="1"/>
        <c:lblAlgn val="ctr"/>
        <c:lblOffset val="100"/>
        <c:noMultiLvlLbl val="0"/>
      </c:catAx>
      <c:valAx>
        <c:axId val="762871567"/>
        <c:scaling>
          <c:orientation val="minMax"/>
        </c:scaling>
        <c:delete val="0"/>
        <c:axPos val="l"/>
        <c:majorGridlines>
          <c:spPr>
            <a:ln w="12700" cap="flat" cmpd="sng" algn="ctr">
              <a:solidFill>
                <a:srgbClr val="DDDDDD"/>
              </a:solidFill>
              <a:prstDash val="solid"/>
              <a:round/>
            </a:ln>
            <a:effectLst/>
          </c:spPr>
        </c:majorGridlines>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883087"/>
        <c:crosses val="autoZero"/>
        <c:crossBetween val="between"/>
      </c:valAx>
      <c:spPr>
        <a:noFill/>
        <a:ln>
          <a:noFill/>
        </a:ln>
        <a:effectLst/>
      </c:spPr>
    </c:plotArea>
    <c:legend>
      <c:legendPos val="b"/>
      <c:layout>
        <c:manualLayout>
          <c:xMode val="edge"/>
          <c:yMode val="edge"/>
          <c:x val="0.15575130708703128"/>
          <c:y val="0.15700514004023441"/>
          <c:w val="0.84424869291296878"/>
          <c:h val="4.5132923310343742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821720783674096E-3"/>
          <c:y val="0.20071966425849241"/>
          <c:w val="0.97213455633198054"/>
          <c:h val="0.69913590921497359"/>
        </c:manualLayout>
      </c:layout>
      <c:barChart>
        <c:barDir val="col"/>
        <c:grouping val="percentStacked"/>
        <c:varyColors val="0"/>
        <c:ser>
          <c:idx val="0"/>
          <c:order val="0"/>
          <c:tx>
            <c:strRef>
              <c:f>'Column Stacked'!$B$2</c:f>
              <c:strCache>
                <c:ptCount val="1"/>
                <c:pt idx="0">
                  <c:v>Salaries and wages</c:v>
                </c:pt>
              </c:strCache>
            </c:strRef>
          </c:tx>
          <c:spPr>
            <a:solidFill>
              <a:srgbClr val="174A7C"/>
            </a:solidFill>
            <a:ln>
              <a:noFill/>
            </a:ln>
            <a:effectLst/>
          </c:spPr>
          <c:invertIfNegative val="0"/>
          <c:cat>
            <c:strRef>
              <c:f>'Column Stacked'!$A$3:$A$10</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Stacked'!$B$3:$B$10</c:f>
              <c:numCache>
                <c:formatCode>#,##0</c:formatCode>
                <c:ptCount val="8"/>
                <c:pt idx="0">
                  <c:v>532981157</c:v>
                </c:pt>
                <c:pt idx="1">
                  <c:v>993592692</c:v>
                </c:pt>
                <c:pt idx="2">
                  <c:v>1701107541</c:v>
                </c:pt>
                <c:pt idx="3">
                  <c:v>2406261909</c:v>
                </c:pt>
                <c:pt idx="4">
                  <c:v>259165177</c:v>
                </c:pt>
                <c:pt idx="5">
                  <c:v>247106515</c:v>
                </c:pt>
                <c:pt idx="6">
                  <c:v>140697169</c:v>
                </c:pt>
                <c:pt idx="7">
                  <c:v>87915690</c:v>
                </c:pt>
              </c:numCache>
            </c:numRef>
          </c:val>
          <c:extLst>
            <c:ext xmlns:c16="http://schemas.microsoft.com/office/drawing/2014/chart" uri="{C3380CC4-5D6E-409C-BE32-E72D297353CC}">
              <c16:uniqueId val="{00000000-227E-45CB-BE9A-96AB0D89C638}"/>
            </c:ext>
          </c:extLst>
        </c:ser>
        <c:ser>
          <c:idx val="1"/>
          <c:order val="1"/>
          <c:tx>
            <c:strRef>
              <c:f>'Column Stacked'!$C$2</c:f>
              <c:strCache>
                <c:ptCount val="1"/>
                <c:pt idx="0">
                  <c:v>Interest and dividends</c:v>
                </c:pt>
              </c:strCache>
            </c:strRef>
          </c:tx>
          <c:spPr>
            <a:solidFill>
              <a:srgbClr val="F0573E"/>
            </a:solidFill>
            <a:ln>
              <a:noFill/>
            </a:ln>
            <a:effectLst/>
          </c:spPr>
          <c:invertIfNegative val="0"/>
          <c:cat>
            <c:strRef>
              <c:f>'Column Stacked'!$A$3:$A$10</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Stacked'!$C$3:$C$10</c:f>
              <c:numCache>
                <c:formatCode>#,##0</c:formatCode>
                <c:ptCount val="8"/>
                <c:pt idx="0">
                  <c:v>18408678</c:v>
                </c:pt>
                <c:pt idx="1">
                  <c:v>19938663</c:v>
                </c:pt>
                <c:pt idx="2">
                  <c:v>43229817</c:v>
                </c:pt>
                <c:pt idx="3">
                  <c:v>98839078</c:v>
                </c:pt>
                <c:pt idx="4">
                  <c:v>29636829</c:v>
                </c:pt>
                <c:pt idx="5">
                  <c:v>54384155</c:v>
                </c:pt>
                <c:pt idx="6">
                  <c:v>97705509</c:v>
                </c:pt>
                <c:pt idx="7">
                  <c:v>77519245</c:v>
                </c:pt>
              </c:numCache>
            </c:numRef>
          </c:val>
          <c:extLst>
            <c:ext xmlns:c16="http://schemas.microsoft.com/office/drawing/2014/chart" uri="{C3380CC4-5D6E-409C-BE32-E72D297353CC}">
              <c16:uniqueId val="{00000001-227E-45CB-BE9A-96AB0D89C638}"/>
            </c:ext>
          </c:extLst>
        </c:ser>
        <c:ser>
          <c:idx val="2"/>
          <c:order val="2"/>
          <c:tx>
            <c:strRef>
              <c:f>'Column Stacked'!$D$2</c:f>
              <c:strCache>
                <c:ptCount val="1"/>
                <c:pt idx="0">
                  <c:v>Other</c:v>
                </c:pt>
              </c:strCache>
            </c:strRef>
          </c:tx>
          <c:spPr>
            <a:solidFill>
              <a:srgbClr val="FCB64B"/>
            </a:solidFill>
            <a:ln>
              <a:noFill/>
            </a:ln>
            <a:effectLst/>
          </c:spPr>
          <c:invertIfNegative val="0"/>
          <c:cat>
            <c:strRef>
              <c:f>'Column Stacked'!$A$3:$A$10</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Stacked'!$D$3:$D$10</c:f>
              <c:numCache>
                <c:formatCode>#,##0</c:formatCode>
                <c:ptCount val="8"/>
                <c:pt idx="0">
                  <c:v>21700352</c:v>
                </c:pt>
                <c:pt idx="1">
                  <c:v>25325109</c:v>
                </c:pt>
                <c:pt idx="2">
                  <c:v>36121650</c:v>
                </c:pt>
                <c:pt idx="3">
                  <c:v>72587881</c:v>
                </c:pt>
                <c:pt idx="4">
                  <c:v>14828368</c:v>
                </c:pt>
                <c:pt idx="5">
                  <c:v>25394180</c:v>
                </c:pt>
                <c:pt idx="6">
                  <c:v>29763550</c:v>
                </c:pt>
                <c:pt idx="7">
                  <c:v>22026735</c:v>
                </c:pt>
              </c:numCache>
            </c:numRef>
          </c:val>
          <c:extLst>
            <c:ext xmlns:c16="http://schemas.microsoft.com/office/drawing/2014/chart" uri="{C3380CC4-5D6E-409C-BE32-E72D297353CC}">
              <c16:uniqueId val="{00000002-227E-45CB-BE9A-96AB0D89C638}"/>
            </c:ext>
          </c:extLst>
        </c:ser>
        <c:ser>
          <c:idx val="3"/>
          <c:order val="3"/>
          <c:tx>
            <c:strRef>
              <c:f>'Column Stacked'!$E$2</c:f>
              <c:strCache>
                <c:ptCount val="1"/>
                <c:pt idx="0">
                  <c:v>Retirement</c:v>
                </c:pt>
              </c:strCache>
            </c:strRef>
          </c:tx>
          <c:spPr>
            <a:solidFill>
              <a:srgbClr val="008BB0"/>
            </a:solidFill>
            <a:ln>
              <a:noFill/>
            </a:ln>
            <a:effectLst/>
          </c:spPr>
          <c:invertIfNegative val="0"/>
          <c:cat>
            <c:strRef>
              <c:f>'Column Stacked'!$A$3:$A$10</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Stacked'!$E$3:$E$10</c:f>
              <c:numCache>
                <c:formatCode>#,##0</c:formatCode>
                <c:ptCount val="8"/>
                <c:pt idx="0">
                  <c:v>84654869</c:v>
                </c:pt>
                <c:pt idx="1">
                  <c:v>162558075</c:v>
                </c:pt>
                <c:pt idx="2">
                  <c:v>372383223</c:v>
                </c:pt>
                <c:pt idx="3">
                  <c:v>392854628</c:v>
                </c:pt>
                <c:pt idx="4">
                  <c:v>20672404</c:v>
                </c:pt>
                <c:pt idx="5">
                  <c:v>20495522</c:v>
                </c:pt>
                <c:pt idx="6">
                  <c:v>7081396</c:v>
                </c:pt>
                <c:pt idx="7">
                  <c:v>3650251</c:v>
                </c:pt>
              </c:numCache>
            </c:numRef>
          </c:val>
          <c:extLst>
            <c:ext xmlns:c16="http://schemas.microsoft.com/office/drawing/2014/chart" uri="{C3380CC4-5D6E-409C-BE32-E72D297353CC}">
              <c16:uniqueId val="{00000003-227E-45CB-BE9A-96AB0D89C638}"/>
            </c:ext>
          </c:extLst>
        </c:ser>
        <c:ser>
          <c:idx val="4"/>
          <c:order val="4"/>
          <c:tx>
            <c:strRef>
              <c:f>'Column Stacked'!$F$2</c:f>
              <c:strCache>
                <c:ptCount val="1"/>
                <c:pt idx="0">
                  <c:v>Business income</c:v>
                </c:pt>
              </c:strCache>
            </c:strRef>
          </c:tx>
          <c:spPr>
            <a:solidFill>
              <a:srgbClr val="BCBEC0"/>
            </a:solidFill>
            <a:ln>
              <a:noFill/>
            </a:ln>
            <a:effectLst/>
          </c:spPr>
          <c:invertIfNegative val="0"/>
          <c:cat>
            <c:strRef>
              <c:f>'Column Stacked'!$A$3:$A$10</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Stacked'!$F$3:$F$10</c:f>
              <c:numCache>
                <c:formatCode>#,##0</c:formatCode>
                <c:ptCount val="8"/>
                <c:pt idx="0">
                  <c:v>62433325</c:v>
                </c:pt>
                <c:pt idx="1">
                  <c:v>40330965</c:v>
                </c:pt>
                <c:pt idx="2">
                  <c:v>73922053</c:v>
                </c:pt>
                <c:pt idx="3">
                  <c:v>280095044</c:v>
                </c:pt>
                <c:pt idx="4">
                  <c:v>112903459</c:v>
                </c:pt>
                <c:pt idx="5">
                  <c:v>179572522</c:v>
                </c:pt>
                <c:pt idx="6">
                  <c:v>136383742</c:v>
                </c:pt>
                <c:pt idx="7">
                  <c:v>93504435</c:v>
                </c:pt>
              </c:numCache>
            </c:numRef>
          </c:val>
          <c:extLst>
            <c:ext xmlns:c16="http://schemas.microsoft.com/office/drawing/2014/chart" uri="{C3380CC4-5D6E-409C-BE32-E72D297353CC}">
              <c16:uniqueId val="{00000004-227E-45CB-BE9A-96AB0D89C638}"/>
            </c:ext>
          </c:extLst>
        </c:ser>
        <c:ser>
          <c:idx val="5"/>
          <c:order val="5"/>
          <c:tx>
            <c:strRef>
              <c:f>'Column Stacked'!$G$2</c:f>
              <c:strCache>
                <c:ptCount val="1"/>
                <c:pt idx="0">
                  <c:v>Capital gains</c:v>
                </c:pt>
              </c:strCache>
            </c:strRef>
          </c:tx>
          <c:spPr>
            <a:solidFill>
              <a:srgbClr val="000000"/>
            </a:solidFill>
            <a:ln>
              <a:noFill/>
            </a:ln>
            <a:effectLst/>
          </c:spPr>
          <c:invertIfNegative val="0"/>
          <c:cat>
            <c:strRef>
              <c:f>'Column Stacked'!$A$3:$A$10</c:f>
              <c:strCache>
                <c:ptCount val="8"/>
                <c:pt idx="0">
                  <c:v>$1 under $25,000</c:v>
                </c:pt>
                <c:pt idx="1">
                  <c:v>$25,000 under $50,000</c:v>
                </c:pt>
                <c:pt idx="2">
                  <c:v>$50,000 under $100,000</c:v>
                </c:pt>
                <c:pt idx="3">
                  <c:v>$100,000 under $500,000</c:v>
                </c:pt>
                <c:pt idx="4">
                  <c:v>$500,000 under $1,000,000</c:v>
                </c:pt>
                <c:pt idx="5">
                  <c:v>$1,000,000 under $5,000,000</c:v>
                </c:pt>
                <c:pt idx="6">
                  <c:v>$5,000,000 under $10,000,000</c:v>
                </c:pt>
                <c:pt idx="7">
                  <c:v>$10,000,000 or more</c:v>
                </c:pt>
              </c:strCache>
            </c:strRef>
          </c:cat>
          <c:val>
            <c:numRef>
              <c:f>'Column Stacked'!$G$3:$G$10</c:f>
              <c:numCache>
                <c:formatCode>#,##0</c:formatCode>
                <c:ptCount val="8"/>
                <c:pt idx="0">
                  <c:v>770549</c:v>
                </c:pt>
                <c:pt idx="1">
                  <c:v>3639482</c:v>
                </c:pt>
                <c:pt idx="2">
                  <c:v>14563900</c:v>
                </c:pt>
                <c:pt idx="3">
                  <c:v>86396313</c:v>
                </c:pt>
                <c:pt idx="4">
                  <c:v>50219578</c:v>
                </c:pt>
                <c:pt idx="5">
                  <c:v>128743191</c:v>
                </c:pt>
                <c:pt idx="6">
                  <c:v>325815123</c:v>
                </c:pt>
                <c:pt idx="7">
                  <c:v>265285834</c:v>
                </c:pt>
              </c:numCache>
            </c:numRef>
          </c:val>
          <c:extLst>
            <c:ext xmlns:c16="http://schemas.microsoft.com/office/drawing/2014/chart" uri="{C3380CC4-5D6E-409C-BE32-E72D297353CC}">
              <c16:uniqueId val="{00000005-227E-45CB-BE9A-96AB0D89C638}"/>
            </c:ext>
          </c:extLst>
        </c:ser>
        <c:dLbls>
          <c:showLegendKey val="0"/>
          <c:showVal val="0"/>
          <c:showCatName val="0"/>
          <c:showSerName val="0"/>
          <c:showPercent val="0"/>
          <c:showBubbleSize val="0"/>
        </c:dLbls>
        <c:gapWidth val="70"/>
        <c:overlap val="100"/>
        <c:axId val="762897487"/>
        <c:axId val="762910447"/>
      </c:barChart>
      <c:catAx>
        <c:axId val="762897487"/>
        <c:scaling>
          <c:orientation val="minMax"/>
        </c:scaling>
        <c:delete val="0"/>
        <c:axPos val="b"/>
        <c:numFmt formatCode="General" sourceLinked="1"/>
        <c:majorTickMark val="none"/>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910447"/>
        <c:crosses val="autoZero"/>
        <c:auto val="1"/>
        <c:lblAlgn val="ctr"/>
        <c:lblOffset val="100"/>
        <c:noMultiLvlLbl val="0"/>
      </c:catAx>
      <c:valAx>
        <c:axId val="762910447"/>
        <c:scaling>
          <c:orientation val="minMax"/>
        </c:scaling>
        <c:delete val="0"/>
        <c:axPos val="l"/>
        <c:majorGridlines>
          <c:spPr>
            <a:ln w="12700" cap="flat" cmpd="sng" algn="ctr">
              <a:solidFill>
                <a:srgbClr val="DDDDDD"/>
              </a:solidFill>
              <a:prstDash val="solid"/>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897487"/>
        <c:crosses val="autoZero"/>
        <c:crossBetween val="between"/>
      </c:valAx>
      <c:spPr>
        <a:noFill/>
        <a:ln>
          <a:noFill/>
        </a:ln>
        <a:effectLst/>
      </c:spPr>
    </c:plotArea>
    <c:legend>
      <c:legendPos val="b"/>
      <c:layout>
        <c:manualLayout>
          <c:xMode val="edge"/>
          <c:yMode val="edge"/>
          <c:x val="9.6399688602482644E-2"/>
          <c:y val="0.11050857919849581"/>
          <c:w val="0.86388564602675433"/>
          <c:h val="4.5091158479033999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5.2609427609427613E-3"/>
          <c:y val="0.18401682439537329"/>
          <c:w val="0.91514099326599307"/>
          <c:h val="0.67910970907816337"/>
        </c:manualLayout>
      </c:layout>
      <c:lineChart>
        <c:grouping val="standard"/>
        <c:varyColors val="0"/>
        <c:ser>
          <c:idx val="1"/>
          <c:order val="0"/>
          <c:spPr>
            <a:ln w="25400" cap="rnd">
              <a:solidFill>
                <a:srgbClr val="F0573E"/>
              </a:solidFill>
              <a:round/>
            </a:ln>
            <a:effectLst/>
          </c:spPr>
          <c:marker>
            <c:symbol val="none"/>
          </c:marker>
          <c:dLbls>
            <c:dLbl>
              <c:idx val="17"/>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0573E"/>
                      </a:solidFill>
                      <a:latin typeface="Avenir TPC"/>
                      <a:ea typeface="Avenir TPC"/>
                      <a:cs typeface="Avenir TPC"/>
                    </a:defRPr>
                  </a:pPr>
                  <a:endParaRPr lang="en-US"/>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24E-4C6F-8C07-A97654C01D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Line!$A$1:$R$1</c:f>
              <c:strCach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strCache>
            </c:strRef>
          </c:cat>
          <c:val>
            <c:numRef>
              <c:f>Line!$A$2:$R$2</c:f>
              <c:numCache>
                <c:formatCode>#,##0</c:formatCode>
                <c:ptCount val="18"/>
                <c:pt idx="0">
                  <c:v>9991081</c:v>
                </c:pt>
                <c:pt idx="1">
                  <c:v>10622794</c:v>
                </c:pt>
                <c:pt idx="2">
                  <c:v>10116952</c:v>
                </c:pt>
                <c:pt idx="3">
                  <c:v>10821819</c:v>
                </c:pt>
                <c:pt idx="4">
                  <c:v>11240815</c:v>
                </c:pt>
                <c:pt idx="5">
                  <c:v>11425090</c:v>
                </c:pt>
                <c:pt idx="6">
                  <c:v>11533235</c:v>
                </c:pt>
                <c:pt idx="7">
                  <c:v>11237238</c:v>
                </c:pt>
                <c:pt idx="8">
                  <c:v>11213184</c:v>
                </c:pt>
                <c:pt idx="9">
                  <c:v>10991496</c:v>
                </c:pt>
                <c:pt idx="10">
                  <c:v>11145436</c:v>
                </c:pt>
                <c:pt idx="11">
                  <c:v>11602000</c:v>
                </c:pt>
                <c:pt idx="12">
                  <c:v>11979290</c:v>
                </c:pt>
                <c:pt idx="13">
                  <c:v>11740265</c:v>
                </c:pt>
                <c:pt idx="14">
                  <c:v>11234147</c:v>
                </c:pt>
                <c:pt idx="15">
                  <c:v>10429316</c:v>
                </c:pt>
                <c:pt idx="16">
                  <c:v>10365372</c:v>
                </c:pt>
                <c:pt idx="17">
                  <c:v>9822475</c:v>
                </c:pt>
              </c:numCache>
            </c:numRef>
          </c:val>
          <c:smooth val="0"/>
          <c:extLst>
            <c:ext xmlns:c16="http://schemas.microsoft.com/office/drawing/2014/chart" uri="{C3380CC4-5D6E-409C-BE32-E72D297353CC}">
              <c16:uniqueId val="{00000001-612D-46BF-975C-8552271A0A9A}"/>
            </c:ext>
          </c:extLst>
        </c:ser>
        <c:ser>
          <c:idx val="2"/>
          <c:order val="1"/>
          <c:spPr>
            <a:ln w="25400" cap="rnd">
              <a:solidFill>
                <a:srgbClr val="FCB64B"/>
              </a:solidFill>
              <a:round/>
            </a:ln>
            <a:effectLst/>
          </c:spPr>
          <c:marker>
            <c:symbol val="none"/>
          </c:marker>
          <c:dLbls>
            <c:dLbl>
              <c:idx val="17"/>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CB64B"/>
                      </a:solidFill>
                      <a:latin typeface="Avenir TPC"/>
                      <a:ea typeface="Avenir TPC"/>
                      <a:cs typeface="Avenir TPC"/>
                    </a:defRPr>
                  </a:pPr>
                  <a:endParaRPr lang="en-US"/>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B24E-4C6F-8C07-A97654C01D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venir TPC"/>
                    <a:ea typeface="Avenir TPC"/>
                    <a:cs typeface="Avenir TPC"/>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Line!$A$1:$R$1</c:f>
              <c:strCache>
                <c:ptCount val="1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strCache>
            </c:strRef>
          </c:cat>
          <c:val>
            <c:numRef>
              <c:f>Line!$A$3:$R$3</c:f>
              <c:numCache>
                <c:formatCode>#,##0</c:formatCode>
                <c:ptCount val="18"/>
                <c:pt idx="0">
                  <c:v>5311411</c:v>
                </c:pt>
                <c:pt idx="1">
                  <c:v>5402864</c:v>
                </c:pt>
                <c:pt idx="2">
                  <c:v>5457793</c:v>
                </c:pt>
                <c:pt idx="3">
                  <c:v>5491464</c:v>
                </c:pt>
                <c:pt idx="4">
                  <c:v>5710759</c:v>
                </c:pt>
                <c:pt idx="5">
                  <c:v>5890821</c:v>
                </c:pt>
                <c:pt idx="6">
                  <c:v>2540889</c:v>
                </c:pt>
                <c:pt idx="7">
                  <c:v>2494145</c:v>
                </c:pt>
                <c:pt idx="8">
                  <c:v>2453741</c:v>
                </c:pt>
                <c:pt idx="9">
                  <c:v>2507728</c:v>
                </c:pt>
                <c:pt idx="10">
                  <c:v>2537825</c:v>
                </c:pt>
                <c:pt idx="11">
                  <c:v>2475785</c:v>
                </c:pt>
                <c:pt idx="12">
                  <c:v>2355803</c:v>
                </c:pt>
                <c:pt idx="13">
                  <c:v>2312909</c:v>
                </c:pt>
                <c:pt idx="14">
                  <c:v>2262961</c:v>
                </c:pt>
                <c:pt idx="15">
                  <c:v>2247747</c:v>
                </c:pt>
                <c:pt idx="16">
                  <c:v>6698800</c:v>
                </c:pt>
                <c:pt idx="17">
                  <c:v>6704300</c:v>
                </c:pt>
              </c:numCache>
            </c:numRef>
          </c:val>
          <c:smooth val="0"/>
          <c:extLst>
            <c:ext xmlns:c16="http://schemas.microsoft.com/office/drawing/2014/chart" uri="{C3380CC4-5D6E-409C-BE32-E72D297353CC}">
              <c16:uniqueId val="{00000002-612D-46BF-975C-8552271A0A9A}"/>
            </c:ext>
          </c:extLst>
        </c:ser>
        <c:dLbls>
          <c:showLegendKey val="0"/>
          <c:showVal val="0"/>
          <c:showCatName val="0"/>
          <c:showSerName val="0"/>
          <c:showPercent val="0"/>
          <c:showBubbleSize val="0"/>
        </c:dLbls>
        <c:smooth val="0"/>
        <c:axId val="239949439"/>
        <c:axId val="239937439"/>
      </c:lineChart>
      <c:catAx>
        <c:axId val="239949439"/>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239937439"/>
        <c:crosses val="autoZero"/>
        <c:auto val="1"/>
        <c:lblAlgn val="ctr"/>
        <c:lblOffset val="100"/>
        <c:noMultiLvlLbl val="0"/>
      </c:catAx>
      <c:valAx>
        <c:axId val="239937439"/>
        <c:scaling>
          <c:orientation val="minMax"/>
        </c:scaling>
        <c:delete val="0"/>
        <c:axPos val="l"/>
        <c:majorGridlines>
          <c:spPr>
            <a:ln w="12700" cap="flat" cmpd="sng" algn="ctr">
              <a:solidFill>
                <a:srgbClr val="DDDDDD"/>
              </a:solidFill>
              <a:prstDash val="solid"/>
              <a:round/>
            </a:ln>
            <a:effectLst/>
          </c:spPr>
        </c:majorGridlines>
        <c:numFmt formatCode="#,##0" sourceLinked="1"/>
        <c:majorTickMark val="out"/>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239949439"/>
        <c:crosses val="autoZero"/>
        <c:crossBetween val="midCat"/>
      </c:valAx>
      <c:spPr>
        <a:noFill/>
        <a:ln>
          <a:noFill/>
        </a:ln>
        <a:effectLst/>
      </c:spPr>
    </c:plotArea>
    <c:legend>
      <c:legendPos val="t"/>
      <c:layout>
        <c:manualLayout>
          <c:xMode val="edge"/>
          <c:yMode val="edge"/>
          <c:x val="0.40336435218324984"/>
          <c:y val="0.14239397125832456"/>
          <c:w val="0.19820637826603332"/>
          <c:h val="4.3767599886167935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venir TPC"/>
              <a:ea typeface="Avenir TPC"/>
              <a:cs typeface="Avenir TPC"/>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7.8914141414141419E-3"/>
          <c:y val="0.1949702067998598"/>
          <c:w val="0.97327441077441079"/>
          <c:h val="0.67910970907816337"/>
        </c:manualLayout>
      </c:layout>
      <c:lineChart>
        <c:grouping val="standard"/>
        <c:varyColors val="0"/>
        <c:ser>
          <c:idx val="1"/>
          <c:order val="0"/>
          <c:spPr>
            <a:ln w="25400" cap="rnd">
              <a:solidFill>
                <a:srgbClr val="F0573E"/>
              </a:solidFill>
              <a:round/>
            </a:ln>
            <a:effectLst/>
          </c:spPr>
          <c:marker>
            <c:symbol val="circle"/>
            <c:size val="7"/>
            <c:spPr>
              <a:solidFill>
                <a:srgbClr val="FFFFFF"/>
              </a:solidFill>
              <a:ln w="25400">
                <a:solidFill>
                  <a:srgbClr val="F0573E"/>
                </a:solidFill>
              </a:ln>
              <a:effectLst/>
            </c:spPr>
          </c:marker>
          <c:cat>
            <c:numRef>
              <c:f>'Line with markers'!$A$1:$A$31</c:f>
              <c:numCache>
                <c:formatCode>General</c:formatCode>
                <c:ptCount val="31"/>
                <c:pt idx="0">
                  <c:v>1976</c:v>
                </c:pt>
                <c:pt idx="4">
                  <c:v>1980</c:v>
                </c:pt>
                <c:pt idx="9">
                  <c:v>1985</c:v>
                </c:pt>
                <c:pt idx="14">
                  <c:v>1990</c:v>
                </c:pt>
                <c:pt idx="19">
                  <c:v>1995</c:v>
                </c:pt>
                <c:pt idx="25">
                  <c:v>2001</c:v>
                </c:pt>
                <c:pt idx="30">
                  <c:v>2006</c:v>
                </c:pt>
              </c:numCache>
            </c:numRef>
          </c:cat>
          <c:val>
            <c:numRef>
              <c:f>'Line with markers'!$B$1:$B$31</c:f>
              <c:numCache>
                <c:formatCode>General</c:formatCode>
                <c:ptCount val="31"/>
                <c:pt idx="0" formatCode="0.0">
                  <c:v>4.16</c:v>
                </c:pt>
                <c:pt idx="4" formatCode="0.0">
                  <c:v>4.67</c:v>
                </c:pt>
                <c:pt idx="9" formatCode="0.0">
                  <c:v>6.39</c:v>
                </c:pt>
                <c:pt idx="14" formatCode="0.0">
                  <c:v>4.63</c:v>
                </c:pt>
                <c:pt idx="19" formatCode="0.0">
                  <c:v>5.35</c:v>
                </c:pt>
                <c:pt idx="25" formatCode="0.0">
                  <c:v>6.46</c:v>
                </c:pt>
                <c:pt idx="30" formatCode="0.0">
                  <c:v>5.73</c:v>
                </c:pt>
              </c:numCache>
            </c:numRef>
          </c:val>
          <c:smooth val="0"/>
          <c:extLst>
            <c:ext xmlns:c16="http://schemas.microsoft.com/office/drawing/2014/chart" uri="{C3380CC4-5D6E-409C-BE32-E72D297353CC}">
              <c16:uniqueId val="{00000001-4E51-4CD2-AE67-22E6D178663F}"/>
            </c:ext>
          </c:extLst>
        </c:ser>
        <c:dLbls>
          <c:showLegendKey val="0"/>
          <c:showVal val="0"/>
          <c:showCatName val="0"/>
          <c:showSerName val="0"/>
          <c:showPercent val="0"/>
          <c:showBubbleSize val="0"/>
        </c:dLbls>
        <c:marker val="1"/>
        <c:smooth val="0"/>
        <c:axId val="762911407"/>
        <c:axId val="762911887"/>
      </c:lineChart>
      <c:catAx>
        <c:axId val="762911407"/>
        <c:scaling>
          <c:orientation val="minMax"/>
        </c:scaling>
        <c:delete val="0"/>
        <c:axPos val="b"/>
        <c:numFmt formatCode="General" sourceLinked="1"/>
        <c:majorTickMark val="out"/>
        <c:minorTickMark val="none"/>
        <c:tickLblPos val="nextTo"/>
        <c:spPr>
          <a:noFill/>
          <a:ln w="12700" cap="flat" cmpd="sng" algn="ctr">
            <a:solidFill>
              <a:srgbClr val="000000">
                <a:lumMod val="100000"/>
              </a:srgb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911887"/>
        <c:crosses val="autoZero"/>
        <c:auto val="1"/>
        <c:lblAlgn val="ctr"/>
        <c:lblOffset val="100"/>
        <c:noMultiLvlLbl val="0"/>
      </c:catAx>
      <c:valAx>
        <c:axId val="762911887"/>
        <c:scaling>
          <c:orientation val="minMax"/>
        </c:scaling>
        <c:delete val="0"/>
        <c:axPos val="l"/>
        <c:majorGridlines>
          <c:spPr>
            <a:ln w="12700" cap="flat" cmpd="sng" algn="ctr">
              <a:solidFill>
                <a:srgbClr val="DDDDDD"/>
              </a:solidFill>
              <a:prstDash val="solid"/>
              <a:round/>
            </a:ln>
            <a:effectLst/>
          </c:spPr>
        </c:majorGridlines>
        <c:numFmt formatCode="0.0" sourceLinked="1"/>
        <c:majorTickMark val="out"/>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crossAx val="762911407"/>
        <c:crosses val="autoZero"/>
        <c:crossBetween val="midCat"/>
      </c:valAx>
      <c:spPr>
        <a:noFill/>
        <a:ln>
          <a:noFill/>
        </a:ln>
        <a:effectLst/>
      </c:spPr>
    </c:plotArea>
    <c:legend>
      <c:legendPos val="b"/>
      <c:layout>
        <c:manualLayout>
          <c:xMode val="edge"/>
          <c:yMode val="edge"/>
          <c:x val="0.38632987519552492"/>
          <c:y val="0.10734314756396775"/>
          <c:w val="9.9266119197221558E-2"/>
          <c:h val="4.3943958080012509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Avenir TPC"/>
              <a:ea typeface="Avenir TPC"/>
              <a:cs typeface="Avenir TPC"/>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Avenir TPC"/>
          <a:ea typeface="Avenir TPC"/>
          <a:cs typeface="Avenir TPC"/>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s://ui-research.github.io/code-library/mapping/mapping.html" TargetMode="External"/><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22.xml.rels><?xml version="1.0" encoding="UTF-8" standalone="yes"?>
<Relationships xmlns="http://schemas.openxmlformats.org/package/2006/relationships"><Relationship Id="rId1" Type="http://schemas.openxmlformats.org/officeDocument/2006/relationships/image" Target="../media/image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5</xdr:row>
      <xdr:rowOff>0</xdr:rowOff>
    </xdr:from>
    <xdr:to>
      <xdr:col>6</xdr:col>
      <xdr:colOff>684280</xdr:colOff>
      <xdr:row>5</xdr:row>
      <xdr:rowOff>576072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77275" y="1390650"/>
          <a:ext cx="674755" cy="5760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95252</xdr:colOff>
      <xdr:row>10</xdr:row>
      <xdr:rowOff>63410</xdr:rowOff>
    </xdr:from>
    <xdr:to>
      <xdr:col>12</xdr:col>
      <xdr:colOff>47625</xdr:colOff>
      <xdr:row>31</xdr:row>
      <xdr:rowOff>432201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7" y="1758860"/>
          <a:ext cx="6953248" cy="4283566"/>
        </a:xfrm>
        <a:prstGeom prst="rect">
          <a:avLst/>
        </a:prstGeom>
      </xdr:spPr>
    </xdr:pic>
    <xdr:clientData/>
  </xdr:twoCellAnchor>
  <xdr:twoCellAnchor>
    <xdr:from>
      <xdr:col>0</xdr:col>
      <xdr:colOff>9525</xdr:colOff>
      <xdr:row>0</xdr:row>
      <xdr:rowOff>152400</xdr:rowOff>
    </xdr:from>
    <xdr:to>
      <xdr:col>12</xdr:col>
      <xdr:colOff>0</xdr:colOff>
      <xdr:row>5</xdr:row>
      <xdr:rowOff>129826</xdr:rowOff>
    </xdr:to>
    <xdr:sp macro="" textlink="">
      <xdr:nvSpPr>
        <xdr:cNvPr id="3" name="TextBox 3">
          <a:extLst>
            <a:ext uri="{FF2B5EF4-FFF2-40B4-BE49-F238E27FC236}">
              <a16:creationId xmlns:a16="http://schemas.microsoft.com/office/drawing/2014/main" id="{00000000-0008-0000-0200-000003000000}"/>
            </a:ext>
          </a:extLst>
        </xdr:cNvPr>
        <xdr:cNvSpPr txBox="1"/>
      </xdr:nvSpPr>
      <xdr:spPr>
        <a:xfrm>
          <a:off x="9525" y="76200"/>
          <a:ext cx="6562725" cy="891826"/>
        </a:xfrm>
        <a:prstGeom prst="rect">
          <a:avLst/>
        </a:prstGeom>
        <a:ln>
          <a:noFill/>
        </a:ln>
      </xdr:spPr>
      <xdr:txBody>
        <a:bodyPr wrap="square"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2000" b="1" i="0" u="none" strike="noStrike" baseline="0">
              <a:solidFill>
                <a:srgbClr val="000000"/>
              </a:solidFill>
              <a:latin typeface="Avenir TPC" panose="020B0503020203020204" pitchFamily="34" charset="0"/>
              <a:ea typeface="Avenir Medium"/>
              <a:cs typeface="Avenir Medium"/>
            </a:rPr>
            <a:t>Individual Income Tax as a Percentage of State and </a:t>
          </a:r>
        </a:p>
        <a:p>
          <a:pPr algn="l" rtl="0">
            <a:defRPr sz="1000"/>
          </a:pPr>
          <a:r>
            <a:rPr lang="en-US" sz="2000" b="1" i="0" u="none" strike="noStrike" baseline="0">
              <a:solidFill>
                <a:srgbClr val="000000"/>
              </a:solidFill>
              <a:latin typeface="Avenir TPC" panose="020B0503020203020204" pitchFamily="34" charset="0"/>
              <a:ea typeface="Avenir Medium"/>
              <a:cs typeface="Avenir Medium"/>
            </a:rPr>
            <a:t>Local General Revenue</a:t>
          </a:r>
          <a:endParaRPr lang="en-US" sz="1200" b="1" i="0" u="none" strike="noStrike" baseline="0">
            <a:solidFill>
              <a:srgbClr val="000000"/>
            </a:solidFill>
            <a:latin typeface="Avenir TPC" panose="020B0503020203020204" pitchFamily="34" charset="0"/>
            <a:ea typeface="Avenir Medium"/>
            <a:cs typeface="Avenir Medium"/>
          </a:endParaRPr>
        </a:p>
        <a:p>
          <a:pPr algn="l" rtl="0">
            <a:defRPr sz="1000"/>
          </a:pPr>
          <a:r>
            <a:rPr lang="en-US" sz="1600" b="0" i="0" u="none" strike="noStrike" baseline="0">
              <a:solidFill>
                <a:srgbClr val="000000"/>
              </a:solidFill>
              <a:latin typeface="Avenir TPC" panose="020B0503020203020204" pitchFamily="34" charset="0"/>
              <a:ea typeface="Avenir Medium"/>
              <a:cs typeface="Avenir Medium"/>
            </a:rPr>
            <a:t>2012</a:t>
          </a:r>
        </a:p>
      </xdr:txBody>
    </xdr:sp>
    <xdr:clientData/>
  </xdr:twoCellAnchor>
  <xdr:twoCellAnchor editAs="oneCell">
    <xdr:from>
      <xdr:col>10</xdr:col>
      <xdr:colOff>514350</xdr:colOff>
      <xdr:row>1</xdr:row>
      <xdr:rowOff>9525</xdr:rowOff>
    </xdr:from>
    <xdr:to>
      <xdr:col>13</xdr:col>
      <xdr:colOff>16345</xdr:colOff>
      <xdr:row>4</xdr:row>
      <xdr:rowOff>4953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62725" y="85725"/>
          <a:ext cx="664045" cy="566928"/>
        </a:xfrm>
        <a:prstGeom prst="rect">
          <a:avLst/>
        </a:prstGeom>
      </xdr:spPr>
    </xdr:pic>
    <xdr:clientData/>
  </xdr:twoCellAnchor>
  <xdr:twoCellAnchor>
    <xdr:from>
      <xdr:col>14</xdr:col>
      <xdr:colOff>280986</xdr:colOff>
      <xdr:row>1</xdr:row>
      <xdr:rowOff>171450</xdr:rowOff>
    </xdr:from>
    <xdr:to>
      <xdr:col>20</xdr:col>
      <xdr:colOff>400049</xdr:colOff>
      <xdr:row>11</xdr:row>
      <xdr:rowOff>133350</xdr:rowOff>
    </xdr:to>
    <xdr:sp macro="" textlink="">
      <xdr:nvSpPr>
        <xdr:cNvPr id="5" name="TextBox 4">
          <a:hlinkClick xmlns:r="http://schemas.openxmlformats.org/officeDocument/2006/relationships" r:id="rId3"/>
          <a:extLst>
            <a:ext uri="{FF2B5EF4-FFF2-40B4-BE49-F238E27FC236}">
              <a16:creationId xmlns:a16="http://schemas.microsoft.com/office/drawing/2014/main" id="{285D13E8-693F-FDD0-4AAD-F11F2C7539DB}"/>
            </a:ext>
          </a:extLst>
        </xdr:cNvPr>
        <xdr:cNvSpPr txBox="1"/>
      </xdr:nvSpPr>
      <xdr:spPr>
        <a:xfrm>
          <a:off x="7777161" y="247650"/>
          <a:ext cx="4233863" cy="177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map is a png made on Adobe Illustrator and inserted here. The scale version of the map should only be used when data is sequential. Colors should therefore be from the TPC sequential palette (all blues).</a:t>
          </a:r>
        </a:p>
        <a:p>
          <a:endParaRPr lang="en-US" sz="1100"/>
        </a:p>
        <a:p>
          <a:r>
            <a:rPr lang="en-US" sz="1100"/>
            <a:t>For more information on mapping, and whether to choose</a:t>
          </a:r>
          <a:r>
            <a:rPr lang="en-US" sz="1100" baseline="0"/>
            <a:t> Excel, R, Datawrapper, or some other tool, see: </a:t>
          </a:r>
          <a:br>
            <a:rPr lang="en-US" sz="1100" baseline="0"/>
          </a:br>
          <a:r>
            <a:rPr lang="en-US" sz="1100" baseline="0"/>
            <a:t>https://ui-research.github.io/code-library/mapping/mapping.html</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170962</xdr:colOff>
      <xdr:row>4</xdr:row>
      <xdr:rowOff>55860</xdr:rowOff>
    </xdr:from>
    <xdr:to>
      <xdr:col>10</xdr:col>
      <xdr:colOff>349023</xdr:colOff>
      <xdr:row>25</xdr:row>
      <xdr:rowOff>59062</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6762" y="855960"/>
          <a:ext cx="6540761" cy="4203727"/>
        </a:xfrm>
        <a:prstGeom prst="rect">
          <a:avLst/>
        </a:prstGeom>
      </xdr:spPr>
    </xdr:pic>
    <xdr:clientData/>
  </xdr:twoCellAnchor>
  <xdr:twoCellAnchor>
    <xdr:from>
      <xdr:col>1</xdr:col>
      <xdr:colOff>15903</xdr:colOff>
      <xdr:row>1</xdr:row>
      <xdr:rowOff>13348</xdr:rowOff>
    </xdr:from>
    <xdr:to>
      <xdr:col>12</xdr:col>
      <xdr:colOff>347594</xdr:colOff>
      <xdr:row>5</xdr:row>
      <xdr:rowOff>1037</xdr:rowOff>
    </xdr:to>
    <xdr:sp macro="" textlink="">
      <xdr:nvSpPr>
        <xdr:cNvPr id="3" name="TextBox 1">
          <a:extLst>
            <a:ext uri="{FF2B5EF4-FFF2-40B4-BE49-F238E27FC236}">
              <a16:creationId xmlns:a16="http://schemas.microsoft.com/office/drawing/2014/main" id="{00000000-0008-0000-0300-000003000000}"/>
            </a:ext>
          </a:extLst>
        </xdr:cNvPr>
        <xdr:cNvSpPr txBox="1"/>
      </xdr:nvSpPr>
      <xdr:spPr>
        <a:xfrm>
          <a:off x="701703" y="213373"/>
          <a:ext cx="8065991" cy="78778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defTabSz="914400" eaLnBrk="1" fontAlgn="auto" latinLnBrk="0" hangingPunct="1">
            <a:lnSpc>
              <a:spcPct val="100000"/>
            </a:lnSpc>
            <a:spcBef>
              <a:spcPts val="0"/>
            </a:spcBef>
            <a:spcAft>
              <a:spcPts val="0"/>
            </a:spcAft>
            <a:buClrTx/>
            <a:buSzTx/>
            <a:buFontTx/>
            <a:buNone/>
            <a:tabLst/>
            <a:defRPr/>
          </a:pPr>
          <a:r>
            <a:rPr lang="en-US" sz="2000" b="1" baseline="0">
              <a:solidFill>
                <a:sysClr val="windowText" lastClr="000000"/>
              </a:solidFill>
              <a:latin typeface="Avenir TPC" panose="020B0503020203020204" pitchFamily="34" charset="0"/>
              <a:cs typeface="Arial" panose="020B0604020202020204" pitchFamily="34" charset="0"/>
            </a:rPr>
            <a:t>Tax and Expenditure Limits by State</a:t>
          </a:r>
        </a:p>
        <a:p>
          <a:pPr marL="0" marR="0" indent="0" defTabSz="914400" eaLnBrk="1" fontAlgn="auto" latinLnBrk="0" hangingPunct="1">
            <a:lnSpc>
              <a:spcPct val="100000"/>
            </a:lnSpc>
            <a:spcBef>
              <a:spcPts val="0"/>
            </a:spcBef>
            <a:spcAft>
              <a:spcPts val="0"/>
            </a:spcAft>
            <a:buClrTx/>
            <a:buSzTx/>
            <a:buFontTx/>
            <a:buNone/>
            <a:tabLst/>
            <a:defRPr/>
          </a:pPr>
          <a:r>
            <a:rPr lang="en-US" sz="1600" b="0" baseline="0">
              <a:solidFill>
                <a:sysClr val="windowText" lastClr="000000"/>
              </a:solidFill>
              <a:effectLst/>
              <a:latin typeface="Avenir TPC" panose="020B0503020203020204" pitchFamily="34" charset="0"/>
              <a:ea typeface="+mn-ea"/>
              <a:cs typeface="Arial" panose="020B0604020202020204" pitchFamily="34" charset="0"/>
            </a:rPr>
            <a:t>Subtitle in 16 point sentence case font</a:t>
          </a:r>
          <a:endParaRPr lang="en-US" sz="1400" b="0" baseline="0">
            <a:effectLst/>
            <a:latin typeface="Avenir TPC" panose="020B0503020203020204" pitchFamily="34" charset="0"/>
            <a:ea typeface="+mn-ea"/>
            <a:cs typeface="+mn-cs"/>
          </a:endParaRPr>
        </a:p>
      </xdr:txBody>
    </xdr:sp>
    <xdr:clientData/>
  </xdr:twoCellAnchor>
  <xdr:twoCellAnchor>
    <xdr:from>
      <xdr:col>1</xdr:col>
      <xdr:colOff>11076</xdr:colOff>
      <xdr:row>25</xdr:row>
      <xdr:rowOff>199360</xdr:rowOff>
    </xdr:from>
    <xdr:to>
      <xdr:col>12</xdr:col>
      <xdr:colOff>373158</xdr:colOff>
      <xdr:row>27</xdr:row>
      <xdr:rowOff>95447</xdr:rowOff>
    </xdr:to>
    <xdr:sp macro="" textlink="">
      <xdr:nvSpPr>
        <xdr:cNvPr id="4" name="TextBox 1">
          <a:extLst>
            <a:ext uri="{FF2B5EF4-FFF2-40B4-BE49-F238E27FC236}">
              <a16:creationId xmlns:a16="http://schemas.microsoft.com/office/drawing/2014/main" id="{00000000-0008-0000-0300-000004000000}"/>
            </a:ext>
          </a:extLst>
        </xdr:cNvPr>
        <xdr:cNvSpPr txBox="1"/>
      </xdr:nvSpPr>
      <xdr:spPr>
        <a:xfrm>
          <a:off x="696876" y="5199985"/>
          <a:ext cx="8096382" cy="29613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100" b="1">
              <a:latin typeface="Avenir TPC" panose="020B0503020203020204" pitchFamily="34" charset="0"/>
              <a:cs typeface="Arial" panose="020B0604020202020204" pitchFamily="34" charset="0"/>
            </a:rPr>
            <a:t>Source: </a:t>
          </a:r>
          <a:r>
            <a:rPr lang="en-US" sz="1100">
              <a:latin typeface="Avenir TPC" panose="020B0503020203020204" pitchFamily="34" charset="0"/>
              <a:cs typeface="Arial" panose="020B0604020202020204" pitchFamily="34" charset="0"/>
            </a:rPr>
            <a:t>NASBO, 2015</a:t>
          </a:r>
        </a:p>
        <a:p>
          <a:r>
            <a:rPr lang="en-US" sz="1100" b="1">
              <a:latin typeface="Avenir TPC" panose="020B0503020203020204" pitchFamily="34" charset="0"/>
              <a:cs typeface="Arial" panose="020B0604020202020204" pitchFamily="34" charset="0"/>
            </a:rPr>
            <a:t>Notes:  </a:t>
          </a:r>
          <a:r>
            <a:rPr lang="en-US" sz="1100" b="0">
              <a:latin typeface="Avenir TPC" panose="020B0503020203020204" pitchFamily="34" charset="0"/>
              <a:cs typeface="Arial" panose="020B0604020202020204" pitchFamily="34" charset="0"/>
            </a:rPr>
            <a:t>Delaware has been added and Illinois removed from source data. Alaska and Hawaii are not drawn to size </a:t>
          </a:r>
        </a:p>
      </xdr:txBody>
    </xdr:sp>
    <xdr:clientData/>
  </xdr:twoCellAnchor>
  <xdr:twoCellAnchor>
    <xdr:from>
      <xdr:col>10</xdr:col>
      <xdr:colOff>495300</xdr:colOff>
      <xdr:row>10</xdr:row>
      <xdr:rowOff>0</xdr:rowOff>
    </xdr:from>
    <xdr:to>
      <xdr:col>10</xdr:col>
      <xdr:colOff>676275</xdr:colOff>
      <xdr:row>11</xdr:row>
      <xdr:rowOff>0</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7543800" y="2000250"/>
          <a:ext cx="180975" cy="200025"/>
        </a:xfrm>
        <a:prstGeom prst="rect">
          <a:avLst/>
        </a:prstGeom>
        <a:solidFill>
          <a:srgbClr val="008BB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08BB0"/>
            </a:solidFill>
          </a:endParaRPr>
        </a:p>
      </xdr:txBody>
    </xdr:sp>
    <xdr:clientData/>
  </xdr:twoCellAnchor>
  <xdr:twoCellAnchor>
    <xdr:from>
      <xdr:col>10</xdr:col>
      <xdr:colOff>496614</xdr:colOff>
      <xdr:row>12</xdr:row>
      <xdr:rowOff>1313</xdr:rowOff>
    </xdr:from>
    <xdr:to>
      <xdr:col>10</xdr:col>
      <xdr:colOff>677589</xdr:colOff>
      <xdr:row>13</xdr:row>
      <xdr:rowOff>1313</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7545114" y="2401613"/>
          <a:ext cx="180975" cy="200025"/>
        </a:xfrm>
        <a:prstGeom prst="rect">
          <a:avLst/>
        </a:prstGeom>
        <a:solidFill>
          <a:srgbClr val="F0573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08BB0"/>
            </a:solidFill>
          </a:endParaRPr>
        </a:p>
      </xdr:txBody>
    </xdr:sp>
    <xdr:clientData/>
  </xdr:twoCellAnchor>
  <xdr:twoCellAnchor>
    <xdr:from>
      <xdr:col>10</xdr:col>
      <xdr:colOff>497928</xdr:colOff>
      <xdr:row>14</xdr:row>
      <xdr:rowOff>2627</xdr:rowOff>
    </xdr:from>
    <xdr:to>
      <xdr:col>10</xdr:col>
      <xdr:colOff>678903</xdr:colOff>
      <xdr:row>15</xdr:row>
      <xdr:rowOff>2627</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7546428" y="2802977"/>
          <a:ext cx="180975" cy="200025"/>
        </a:xfrm>
        <a:prstGeom prst="rect">
          <a:avLst/>
        </a:prstGeom>
        <a:solidFill>
          <a:srgbClr val="FCB6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08BB0"/>
            </a:solidFill>
          </a:endParaRPr>
        </a:p>
      </xdr:txBody>
    </xdr:sp>
    <xdr:clientData/>
  </xdr:twoCellAnchor>
  <xdr:twoCellAnchor>
    <xdr:from>
      <xdr:col>10</xdr:col>
      <xdr:colOff>492672</xdr:colOff>
      <xdr:row>16</xdr:row>
      <xdr:rowOff>3940</xdr:rowOff>
    </xdr:from>
    <xdr:to>
      <xdr:col>10</xdr:col>
      <xdr:colOff>673647</xdr:colOff>
      <xdr:row>17</xdr:row>
      <xdr:rowOff>3940</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7541172" y="3204340"/>
          <a:ext cx="180975" cy="200025"/>
        </a:xfrm>
        <a:prstGeom prst="rect">
          <a:avLst/>
        </a:prstGeom>
        <a:solidFill>
          <a:srgbClr val="174A7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rgbClr val="008BB0"/>
            </a:solidFill>
          </a:endParaRPr>
        </a:p>
      </xdr:txBody>
    </xdr:sp>
    <xdr:clientData/>
  </xdr:twoCellAnchor>
  <xdr:twoCellAnchor editAs="oneCell">
    <xdr:from>
      <xdr:col>12</xdr:col>
      <xdr:colOff>55379</xdr:colOff>
      <xdr:row>1</xdr:row>
      <xdr:rowOff>66453</xdr:rowOff>
    </xdr:from>
    <xdr:to>
      <xdr:col>13</xdr:col>
      <xdr:colOff>32738</xdr:colOff>
      <xdr:row>4</xdr:row>
      <xdr:rowOff>35299</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75479" y="266478"/>
          <a:ext cx="663159" cy="568921"/>
        </a:xfrm>
        <a:prstGeom prst="rect">
          <a:avLst/>
        </a:prstGeom>
      </xdr:spPr>
    </xdr:pic>
    <xdr:clientData/>
  </xdr:twoCellAnchor>
  <xdr:twoCellAnchor>
    <xdr:from>
      <xdr:col>14</xdr:col>
      <xdr:colOff>575931</xdr:colOff>
      <xdr:row>2</xdr:row>
      <xdr:rowOff>99680</xdr:rowOff>
    </xdr:from>
    <xdr:to>
      <xdr:col>22</xdr:col>
      <xdr:colOff>99680</xdr:colOff>
      <xdr:row>7</xdr:row>
      <xdr:rowOff>55378</xdr:rowOff>
    </xdr:to>
    <xdr:sp macro="" textlink="">
      <xdr:nvSpPr>
        <xdr:cNvPr id="10" name="TextBox 9">
          <a:extLst>
            <a:ext uri="{FF2B5EF4-FFF2-40B4-BE49-F238E27FC236}">
              <a16:creationId xmlns:a16="http://schemas.microsoft.com/office/drawing/2014/main" id="{EB1FA00A-8103-95AB-47AF-F843A38B4725}"/>
            </a:ext>
          </a:extLst>
        </xdr:cNvPr>
        <xdr:cNvSpPr txBox="1"/>
      </xdr:nvSpPr>
      <xdr:spPr>
        <a:xfrm>
          <a:off x="9879419" y="498401"/>
          <a:ext cx="5017238"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map is a png made on Adobe Illustrator and inserted here.</a:t>
          </a:r>
        </a:p>
        <a:p>
          <a:endParaRPr lang="en-US" sz="1100"/>
        </a:p>
        <a:p>
          <a:r>
            <a:rPr lang="en-US" sz="1100"/>
            <a:t>For more information on mapping, and whether to choose Excel, R, Datawrapper, or some other tool, see: </a:t>
          </a:r>
          <a:br>
            <a:rPr lang="en-US" sz="1100"/>
          </a:br>
          <a:r>
            <a:rPr lang="en-US" sz="1100"/>
            <a:t>https://ui-research.github.io/code-library/mapping/mapping.html</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1356360</xdr:colOff>
      <xdr:row>4</xdr:row>
      <xdr:rowOff>26152</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85800" y="190500"/>
          <a:ext cx="7680960" cy="788152"/>
        </a:xfrm>
        <a:prstGeom prst="rect">
          <a:avLst/>
        </a:prstGeom>
      </xdr:spPr>
      <xdr:txBody>
        <a:bodyPr wrap="square"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2000" b="1" i="0" u="none" strike="noStrike" baseline="0">
              <a:solidFill>
                <a:srgbClr val="000000"/>
              </a:solidFill>
              <a:latin typeface="Avenir TPC" panose="020B0503020203020204" pitchFamily="34" charset="0"/>
              <a:ea typeface="Avenir Medium"/>
              <a:cs typeface="Avenir Medium"/>
            </a:rPr>
            <a:t>Social Security Trust Fund Receipts</a:t>
          </a:r>
        </a:p>
        <a:p>
          <a:pPr algn="l" rtl="0">
            <a:defRPr sz="1000"/>
          </a:pPr>
          <a:r>
            <a:rPr lang="en-US" sz="1600" b="0" i="0" u="none" strike="noStrike" baseline="0">
              <a:solidFill>
                <a:srgbClr val="000000"/>
              </a:solidFill>
              <a:latin typeface="Avenir TPC" panose="020B0503020203020204" pitchFamily="34" charset="0"/>
              <a:ea typeface="Avenir Medium"/>
              <a:cs typeface="Avenir Medium"/>
            </a:rPr>
            <a:t>Millions of dollars, 2013</a:t>
          </a:r>
          <a:r>
            <a:rPr lang="en-US" sz="1600" b="0" i="0" u="none" strike="noStrike" baseline="30000">
              <a:solidFill>
                <a:srgbClr val="000000"/>
              </a:solidFill>
              <a:latin typeface="Avenir TPC" panose="020B0503020203020204" pitchFamily="34" charset="0"/>
              <a:ea typeface="Avenir Medium"/>
              <a:cs typeface="Avenir Medium"/>
            </a:rPr>
            <a:t>a</a:t>
          </a:r>
          <a:endParaRPr lang="en-US" sz="1400" b="0" i="0" u="none" strike="noStrike" baseline="30000">
            <a:solidFill>
              <a:srgbClr val="000000"/>
            </a:solidFill>
            <a:latin typeface="Avenir TPC" panose="020B0503020203020204" pitchFamily="34" charset="0"/>
            <a:ea typeface="Avenir Medium"/>
            <a:cs typeface="Avenir Medium"/>
          </a:endParaRPr>
        </a:p>
      </xdr:txBody>
    </xdr:sp>
    <xdr:clientData/>
  </xdr:twoCellAnchor>
  <xdr:oneCellAnchor>
    <xdr:from>
      <xdr:col>4</xdr:col>
      <xdr:colOff>695325</xdr:colOff>
      <xdr:row>1</xdr:row>
      <xdr:rowOff>57150</xdr:rowOff>
    </xdr:from>
    <xdr:ext cx="664044" cy="566928"/>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05725" y="247650"/>
          <a:ext cx="664044" cy="566928"/>
        </a:xfrm>
        <a:prstGeom prst="rect">
          <a:avLst/>
        </a:prstGeom>
      </xdr:spPr>
    </xdr:pic>
    <xdr:clientData/>
  </xdr:oneCellAnchor>
  <xdr:twoCellAnchor>
    <xdr:from>
      <xdr:col>0</xdr:col>
      <xdr:colOff>628650</xdr:colOff>
      <xdr:row>15</xdr:row>
      <xdr:rowOff>66675</xdr:rowOff>
    </xdr:from>
    <xdr:to>
      <xdr:col>4</xdr:col>
      <xdr:colOff>1299210</xdr:colOff>
      <xdr:row>19</xdr:row>
      <xdr:rowOff>26152</xdr:rowOff>
    </xdr:to>
    <xdr:sp macro="" textlink="">
      <xdr:nvSpPr>
        <xdr:cNvPr id="5" name="TextBox 4">
          <a:extLst>
            <a:ext uri="{FF2B5EF4-FFF2-40B4-BE49-F238E27FC236}">
              <a16:creationId xmlns:a16="http://schemas.microsoft.com/office/drawing/2014/main" id="{53FBC221-72A0-44AA-B59D-2B7F05B60929}"/>
            </a:ext>
          </a:extLst>
        </xdr:cNvPr>
        <xdr:cNvSpPr txBox="1"/>
      </xdr:nvSpPr>
      <xdr:spPr>
        <a:xfrm>
          <a:off x="628650" y="3733800"/>
          <a:ext cx="7680960" cy="721477"/>
        </a:xfrm>
        <a:prstGeom prst="rect">
          <a:avLst/>
        </a:prstGeom>
      </xdr:spPr>
      <xdr:txBody>
        <a:bodyPr wrap="square"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2000" b="1" i="0" u="none" strike="noStrike" baseline="0">
              <a:solidFill>
                <a:srgbClr val="000000"/>
              </a:solidFill>
              <a:latin typeface="Avenir TPC" panose="020B0503020203020204" pitchFamily="34" charset="0"/>
              <a:ea typeface="Avenir Medium"/>
              <a:cs typeface="Avenir Medium"/>
            </a:rPr>
            <a:t>Social Security Trust Fund Receipts</a:t>
          </a:r>
        </a:p>
        <a:p>
          <a:pPr algn="l" rtl="0">
            <a:defRPr sz="1000"/>
          </a:pPr>
          <a:r>
            <a:rPr lang="en-US" sz="1600" b="0" i="0" u="none" strike="noStrike" baseline="0">
              <a:solidFill>
                <a:srgbClr val="000000"/>
              </a:solidFill>
              <a:latin typeface="Avenir TPC" panose="020B0503020203020204" pitchFamily="34" charset="0"/>
              <a:ea typeface="Avenir Medium"/>
              <a:cs typeface="Avenir Medium"/>
            </a:rPr>
            <a:t>Millions of dollars, 2013</a:t>
          </a:r>
          <a:r>
            <a:rPr lang="en-US" sz="1600" b="0" i="0" u="none" strike="noStrike" baseline="30000">
              <a:solidFill>
                <a:srgbClr val="000000"/>
              </a:solidFill>
              <a:latin typeface="Avenir TPC" panose="020B0503020203020204" pitchFamily="34" charset="0"/>
              <a:ea typeface="Avenir Medium"/>
              <a:cs typeface="Avenir Medium"/>
            </a:rPr>
            <a:t>a</a:t>
          </a:r>
          <a:endParaRPr lang="en-US" sz="1400" b="0" i="0" u="none" strike="noStrike" baseline="30000">
            <a:solidFill>
              <a:srgbClr val="000000"/>
            </a:solidFill>
            <a:latin typeface="Avenir TPC" panose="020B0503020203020204" pitchFamily="34" charset="0"/>
            <a:ea typeface="Avenir Medium"/>
            <a:cs typeface="Avenir Medium"/>
          </a:endParaRPr>
        </a:p>
      </xdr:txBody>
    </xdr:sp>
    <xdr:clientData/>
  </xdr:twoCellAnchor>
  <xdr:oneCellAnchor>
    <xdr:from>
      <xdr:col>4</xdr:col>
      <xdr:colOff>666750</xdr:colOff>
      <xdr:row>15</xdr:row>
      <xdr:rowOff>95250</xdr:rowOff>
    </xdr:from>
    <xdr:ext cx="664044" cy="566928"/>
    <xdr:pic>
      <xdr:nvPicPr>
        <xdr:cNvPr id="6" name="Picture 5">
          <a:extLst>
            <a:ext uri="{FF2B5EF4-FFF2-40B4-BE49-F238E27FC236}">
              <a16:creationId xmlns:a16="http://schemas.microsoft.com/office/drawing/2014/main" id="{91443EE7-0BC7-452E-A069-2EEA910A74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77150" y="3762375"/>
          <a:ext cx="664044" cy="56692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5</xdr:col>
      <xdr:colOff>36513</xdr:colOff>
      <xdr:row>0</xdr:row>
      <xdr:rowOff>0</xdr:rowOff>
    </xdr:from>
    <xdr:to>
      <xdr:col>17</xdr:col>
      <xdr:colOff>457945</xdr:colOff>
      <xdr:row>35</xdr:row>
      <xdr:rowOff>126746</xdr:rowOff>
    </xdr:to>
    <xdr:graphicFrame macro="">
      <xdr:nvGraphicFramePr>
        <xdr:cNvPr id="6" name="Chart 5">
          <a:extLst>
            <a:ext uri="{FF2B5EF4-FFF2-40B4-BE49-F238E27FC236}">
              <a16:creationId xmlns:a16="http://schemas.microsoft.com/office/drawing/2014/main" id="{150F84B1-2A3B-CD88-4746-240FA6EC9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753197</xdr:colOff>
      <xdr:row>36</xdr:row>
      <xdr:rowOff>138689</xdr:rowOff>
    </xdr:from>
    <xdr:to>
      <xdr:col>17</xdr:col>
      <xdr:colOff>379436</xdr:colOff>
      <xdr:row>72</xdr:row>
      <xdr:rowOff>106685</xdr:rowOff>
    </xdr:to>
    <xdr:graphicFrame macro="">
      <xdr:nvGraphicFramePr>
        <xdr:cNvPr id="7" name="Chart 6">
          <a:extLst>
            <a:ext uri="{FF2B5EF4-FFF2-40B4-BE49-F238E27FC236}">
              <a16:creationId xmlns:a16="http://schemas.microsoft.com/office/drawing/2014/main" id="{9D3F3AA1-BAA9-21AF-2B73-478DF3496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158752</xdr:colOff>
      <xdr:row>8</xdr:row>
      <xdr:rowOff>86590</xdr:rowOff>
    </xdr:from>
    <xdr:to>
      <xdr:col>7</xdr:col>
      <xdr:colOff>202047</xdr:colOff>
      <xdr:row>12</xdr:row>
      <xdr:rowOff>101022</xdr:rowOff>
    </xdr:to>
    <xdr:sp macro="" textlink="">
      <xdr:nvSpPr>
        <xdr:cNvPr id="8" name="TextBox 7">
          <a:extLst>
            <a:ext uri="{FF2B5EF4-FFF2-40B4-BE49-F238E27FC236}">
              <a16:creationId xmlns:a16="http://schemas.microsoft.com/office/drawing/2014/main" id="{589C2A76-E632-DE58-D37F-F2BC21F54DCB}"/>
            </a:ext>
          </a:extLst>
        </xdr:cNvPr>
        <xdr:cNvSpPr txBox="1"/>
      </xdr:nvSpPr>
      <xdr:spPr>
        <a:xfrm>
          <a:off x="3968752" y="1356590"/>
          <a:ext cx="2337954" cy="649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FF"/>
              </a:solidFill>
              <a:latin typeface="Avenir TPC" panose="020B0503020203020204" pitchFamily="34" charset="0"/>
            </a:rPr>
            <a:t>Standard bar chart format</a:t>
          </a:r>
        </a:p>
      </xdr:txBody>
    </xdr:sp>
    <xdr:clientData/>
  </xdr:twoCellAnchor>
  <xdr:twoCellAnchor>
    <xdr:from>
      <xdr:col>3</xdr:col>
      <xdr:colOff>412174</xdr:colOff>
      <xdr:row>48</xdr:row>
      <xdr:rowOff>94672</xdr:rowOff>
    </xdr:from>
    <xdr:to>
      <xdr:col>6</xdr:col>
      <xdr:colOff>158750</xdr:colOff>
      <xdr:row>55</xdr:row>
      <xdr:rowOff>28864</xdr:rowOff>
    </xdr:to>
    <xdr:sp macro="" textlink="">
      <xdr:nvSpPr>
        <xdr:cNvPr id="10" name="TextBox 9">
          <a:extLst>
            <a:ext uri="{FF2B5EF4-FFF2-40B4-BE49-F238E27FC236}">
              <a16:creationId xmlns:a16="http://schemas.microsoft.com/office/drawing/2014/main" id="{DFAC57A0-550F-488C-97B8-848AEE0D82F8}"/>
            </a:ext>
          </a:extLst>
        </xdr:cNvPr>
        <xdr:cNvSpPr txBox="1"/>
      </xdr:nvSpPr>
      <xdr:spPr>
        <a:xfrm>
          <a:off x="3457288" y="7714672"/>
          <a:ext cx="2041235" cy="1045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FF"/>
              </a:solidFill>
              <a:latin typeface="Avenir TPC" panose="020B0503020203020204" pitchFamily="34" charset="0"/>
            </a:rPr>
            <a:t>Alternative:</a:t>
          </a:r>
          <a:br>
            <a:rPr lang="en-US" sz="1400" b="1">
              <a:solidFill>
                <a:srgbClr val="FF00FF"/>
              </a:solidFill>
              <a:latin typeface="Avenir TPC" panose="020B0503020203020204" pitchFamily="34" charset="0"/>
            </a:rPr>
          </a:br>
          <a:r>
            <a:rPr lang="en-US" sz="1400">
              <a:solidFill>
                <a:srgbClr val="FF00FF"/>
              </a:solidFill>
              <a:latin typeface="Avenir TPC" panose="020B0503020203020204" pitchFamily="34" charset="0"/>
            </a:rPr>
            <a:t>No gridlines</a:t>
          </a:r>
          <a:r>
            <a:rPr lang="en-US" sz="1400" baseline="0">
              <a:solidFill>
                <a:srgbClr val="FF00FF"/>
              </a:solidFill>
              <a:latin typeface="Avenir TPC" panose="020B0503020203020204" pitchFamily="34" charset="0"/>
            </a:rPr>
            <a:t> or y axis - direct column labels instead</a:t>
          </a:r>
          <a:endParaRPr lang="en-US" sz="1400">
            <a:solidFill>
              <a:srgbClr val="FF00FF"/>
            </a:solidFill>
            <a:latin typeface="Avenir TPC" panose="020B0503020203020204" pitchFamily="34" charset="0"/>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0.36031</cdr:x>
      <cdr:y>0.86746</cdr:y>
    </cdr:from>
    <cdr:to>
      <cdr:x>0.63517</cdr:x>
      <cdr:y>0.9162</cdr:y>
    </cdr:to>
    <cdr:sp macro="" textlink="">
      <cdr:nvSpPr>
        <cdr:cNvPr id="2" name="XAxisBox">
          <a:extLst xmlns:a="http://schemas.openxmlformats.org/drawingml/2006/main">
            <a:ext uri="{FF2B5EF4-FFF2-40B4-BE49-F238E27FC236}">
              <a16:creationId xmlns:a16="http://schemas.microsoft.com/office/drawing/2014/main" id="{C13B8755-C2CF-1571-1DC0-A1E271CA172A}"/>
            </a:ext>
          </a:extLst>
        </cdr:cNvPr>
        <cdr:cNvSpPr txBox="1"/>
      </cdr:nvSpPr>
      <cdr:spPr>
        <a:xfrm xmlns:a="http://schemas.openxmlformats.org/drawingml/2006/main">
          <a:off x="3458957" y="4929747"/>
          <a:ext cx="2638672"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solidFill>
                <a:srgbClr val="FF00FF"/>
              </a:solidFill>
              <a:latin typeface="Avenir TPC" panose="020B0503020203020204" pitchFamily="34" charset="0"/>
            </a:rPr>
            <a:t>X axis title (unit) - delete if not used</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0.91675</cdr:y>
    </cdr:from>
    <cdr:to>
      <cdr:x>0.28633</cdr:x>
      <cdr:y>1</cdr:y>
    </cdr:to>
    <cdr:sp macro="" textlink="">
      <cdr:nvSpPr>
        <cdr:cNvPr id="4" name="SourceBox">
          <a:extLst xmlns:a="http://schemas.openxmlformats.org/drawingml/2006/main">
            <a:ext uri="{FF2B5EF4-FFF2-40B4-BE49-F238E27FC236}">
              <a16:creationId xmlns:a16="http://schemas.microsoft.com/office/drawing/2014/main" id="{2029D9DE-1FAB-C5C7-6C72-2BD993DD89C7}"/>
            </a:ext>
          </a:extLst>
        </cdr:cNvPr>
        <cdr:cNvSpPr txBox="1"/>
      </cdr:nvSpPr>
      <cdr:spPr>
        <a:xfrm xmlns:a="http://schemas.openxmlformats.org/drawingml/2006/main">
          <a:off x="0" y="5209886"/>
          <a:ext cx="2748828" cy="47311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0.47891</cdr:x>
      <cdr:y>0.06572</cdr:y>
    </cdr:to>
    <cdr:sp macro="" textlink="">
      <cdr:nvSpPr>
        <cdr:cNvPr id="5" name="TitleBox">
          <a:extLst xmlns:a="http://schemas.openxmlformats.org/drawingml/2006/main">
            <a:ext uri="{FF2B5EF4-FFF2-40B4-BE49-F238E27FC236}">
              <a16:creationId xmlns:a16="http://schemas.microsoft.com/office/drawing/2014/main" id="{30A02954-7C2B-445A-0EE7-AFDFE1428813}"/>
            </a:ext>
          </a:extLst>
        </cdr:cNvPr>
        <cdr:cNvSpPr txBox="1"/>
      </cdr:nvSpPr>
      <cdr:spPr>
        <a:xfrm xmlns:a="http://schemas.openxmlformats.org/drawingml/2006/main">
          <a:off x="0" y="0"/>
          <a:ext cx="4624388"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Average Federal Tax Rates</a:t>
          </a:r>
        </a:p>
      </cdr:txBody>
    </cdr:sp>
  </cdr:relSizeAnchor>
  <cdr:relSizeAnchor xmlns:cdr="http://schemas.openxmlformats.org/drawingml/2006/chartDrawing">
    <cdr:from>
      <cdr:x>0</cdr:x>
      <cdr:y>0.06572</cdr:y>
    </cdr:from>
    <cdr:to>
      <cdr:x>0.77188</cdr:x>
      <cdr:y>0.12049</cdr:y>
    </cdr:to>
    <cdr:sp macro="" textlink="">
      <cdr:nvSpPr>
        <cdr:cNvPr id="6" name="SubTitleBox">
          <a:extLst xmlns:a="http://schemas.openxmlformats.org/drawingml/2006/main">
            <a:ext uri="{FF2B5EF4-FFF2-40B4-BE49-F238E27FC236}">
              <a16:creationId xmlns:a16="http://schemas.microsoft.com/office/drawing/2014/main" id="{3F8AB54D-73CB-73B5-5CAF-357AFE9299B3}"/>
            </a:ext>
          </a:extLst>
        </cdr:cNvPr>
        <cdr:cNvSpPr txBox="1"/>
      </cdr:nvSpPr>
      <cdr:spPr>
        <a:xfrm xmlns:a="http://schemas.openxmlformats.org/drawingml/2006/main">
          <a:off x="0" y="381000"/>
          <a:ext cx="7453312"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All households, 2011, including income, payroll, corporate, and excise taxes</a:t>
          </a:r>
        </a:p>
      </cdr:txBody>
    </cdr:sp>
  </cdr:relSizeAnchor>
  <cdr:relSizeAnchor xmlns:cdr="http://schemas.openxmlformats.org/drawingml/2006/chartDrawing">
    <cdr:from>
      <cdr:x>0</cdr:x>
      <cdr:y>0.12268</cdr:y>
    </cdr:from>
    <cdr:to>
      <cdr:x>0.32881</cdr:x>
      <cdr:y>0.16211</cdr:y>
    </cdr:to>
    <cdr:sp macro="" textlink="">
      <cdr:nvSpPr>
        <cdr:cNvPr id="7" name="YAxisLabelBox">
          <a:extLst xmlns:a="http://schemas.openxmlformats.org/drawingml/2006/main">
            <a:ext uri="{FF2B5EF4-FFF2-40B4-BE49-F238E27FC236}">
              <a16:creationId xmlns:a16="http://schemas.microsoft.com/office/drawing/2014/main" id="{3C7485BC-E6F8-9C50-3B6C-8EBAA1C8A20D}"/>
            </a:ext>
          </a:extLst>
        </cdr:cNvPr>
        <cdr:cNvSpPr txBox="1"/>
      </cdr:nvSpPr>
      <cdr:spPr>
        <a:xfrm xmlns:a="http://schemas.openxmlformats.org/drawingml/2006/main">
          <a:off x="0" y="711200"/>
          <a:ext cx="3175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solidFill>
                <a:srgbClr val="FF00FF"/>
              </a:solidFill>
              <a:latin typeface="Avenir TPC Italic" panose="020B0503020203090204" pitchFamily="34" charset="0"/>
            </a:rPr>
            <a:t>Y axis title (unit) -</a:t>
          </a:r>
          <a:r>
            <a:rPr lang="en-US" sz="1200" b="0" i="1" kern="1200" baseline="0">
              <a:solidFill>
                <a:srgbClr val="FF00FF"/>
              </a:solidFill>
              <a:latin typeface="Avenir TPC Italic" panose="020B0503020203090204" pitchFamily="34" charset="0"/>
            </a:rPr>
            <a:t> delete if not used</a:t>
          </a:r>
          <a:endParaRPr lang="en-US" sz="1200" b="0" i="1" kern="1200">
            <a:solidFill>
              <a:srgbClr val="FF00FF"/>
            </a:solidFill>
            <a:latin typeface="Avenir TPC Italic" panose="020B050302020309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0.43869</cdr:x>
      <cdr:y>0.8608</cdr:y>
    </cdr:from>
    <cdr:to>
      <cdr:x>0.57174</cdr:x>
      <cdr:y>0.90858</cdr:y>
    </cdr:to>
    <cdr:sp macro="" textlink="">
      <cdr:nvSpPr>
        <cdr:cNvPr id="2" name="XAxisBox">
          <a:extLst xmlns:a="http://schemas.openxmlformats.org/drawingml/2006/main">
            <a:ext uri="{FF2B5EF4-FFF2-40B4-BE49-F238E27FC236}">
              <a16:creationId xmlns:a16="http://schemas.microsoft.com/office/drawing/2014/main" id="{2D8F9F6D-9F37-EF46-D73D-805F82794D39}"/>
            </a:ext>
          </a:extLst>
        </cdr:cNvPr>
        <cdr:cNvSpPr txBox="1"/>
      </cdr:nvSpPr>
      <cdr:spPr>
        <a:xfrm xmlns:a="http://schemas.openxmlformats.org/drawingml/2006/main">
          <a:off x="4198157" y="4891912"/>
          <a:ext cx="1273229" cy="271538"/>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0.90934</cdr:x>
      <cdr:y>0.00018</cdr:y>
    </cdr:from>
    <cdr:to>
      <cdr:x>1</cdr:x>
      <cdr:y>0.13162</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06720" y="1021"/>
          <a:ext cx="875412" cy="762000"/>
        </a:xfrm>
        <a:prstGeom xmlns:a="http://schemas.openxmlformats.org/drawingml/2006/main" prst="rect">
          <a:avLst/>
        </a:prstGeom>
      </cdr:spPr>
    </cdr:pic>
  </cdr:relSizeAnchor>
  <cdr:relSizeAnchor xmlns:cdr="http://schemas.openxmlformats.org/drawingml/2006/chartDrawing">
    <cdr:from>
      <cdr:x>0</cdr:x>
      <cdr:y>0.9025</cdr:y>
    </cdr:from>
    <cdr:to>
      <cdr:x>0.25156</cdr:x>
      <cdr:y>1</cdr:y>
    </cdr:to>
    <cdr:sp macro="" textlink="">
      <cdr:nvSpPr>
        <cdr:cNvPr id="4" name="SourceBox">
          <a:extLst xmlns:a="http://schemas.openxmlformats.org/drawingml/2006/main">
            <a:ext uri="{FF2B5EF4-FFF2-40B4-BE49-F238E27FC236}">
              <a16:creationId xmlns:a16="http://schemas.microsoft.com/office/drawing/2014/main" id="{BF9FD3D0-0144-71E5-5489-14636AD3FB61}"/>
            </a:ext>
          </a:extLst>
        </cdr:cNvPr>
        <cdr:cNvSpPr txBox="1"/>
      </cdr:nvSpPr>
      <cdr:spPr>
        <a:xfrm xmlns:a="http://schemas.openxmlformats.org/drawingml/2006/main">
          <a:off x="0" y="5128925"/>
          <a:ext cx="2407372" cy="554071"/>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0.95432</cdr:x>
      <cdr:y>0.06572</cdr:y>
    </cdr:to>
    <cdr:sp macro="" textlink="">
      <cdr:nvSpPr>
        <cdr:cNvPr id="5" name="TitleBox">
          <a:extLst xmlns:a="http://schemas.openxmlformats.org/drawingml/2006/main">
            <a:ext uri="{FF2B5EF4-FFF2-40B4-BE49-F238E27FC236}">
              <a16:creationId xmlns:a16="http://schemas.microsoft.com/office/drawing/2014/main" id="{D437C538-22FC-F7BA-93A8-34B919148514}"/>
            </a:ext>
          </a:extLst>
        </cdr:cNvPr>
        <cdr:cNvSpPr txBox="1"/>
      </cdr:nvSpPr>
      <cdr:spPr>
        <a:xfrm xmlns:a="http://schemas.openxmlformats.org/drawingml/2006/main">
          <a:off x="0" y="0"/>
          <a:ext cx="9132599" cy="37348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National Retail Sales as a Percentage</a:t>
          </a:r>
          <a:r>
            <a:rPr lang="en-US" sz="2000" b="1" kern="1200" baseline="0">
              <a:latin typeface="Avenir TPC" panose="020B0503020203020204" pitchFamily="34" charset="0"/>
            </a:rPr>
            <a:t> of Income</a:t>
          </a:r>
          <a:endParaRPr lang="en-US" sz="2000" b="1" kern="1200">
            <a:latin typeface="Avenir TPC" panose="020B0503020203020204" pitchFamily="34" charset="0"/>
          </a:endParaRP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796EAC5D-A0F7-9F48-1E23-3D4033E6B59F}"/>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Estimates include prebate</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68035</xdr:colOff>
      <xdr:row>24</xdr:row>
      <xdr:rowOff>48207</xdr:rowOff>
    </xdr:from>
    <xdr:to>
      <xdr:col>24</xdr:col>
      <xdr:colOff>440529</xdr:colOff>
      <xdr:row>60</xdr:row>
      <xdr:rowOff>15425</xdr:rowOff>
    </xdr:to>
    <xdr:graphicFrame macro="">
      <xdr:nvGraphicFramePr>
        <xdr:cNvPr id="3" name="Chart 2">
          <a:extLst>
            <a:ext uri="{FF2B5EF4-FFF2-40B4-BE49-F238E27FC236}">
              <a16:creationId xmlns:a16="http://schemas.microsoft.com/office/drawing/2014/main" id="{4B8C9A37-15EB-BB17-C18D-7E81FAB8D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0.90665</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610352" y="0"/>
          <a:ext cx="901410" cy="762000"/>
        </a:xfrm>
        <a:prstGeom xmlns:a="http://schemas.openxmlformats.org/drawingml/2006/main" prst="rect">
          <a:avLst/>
        </a:prstGeom>
      </cdr:spPr>
    </cdr:pic>
  </cdr:relSizeAnchor>
  <cdr:relSizeAnchor xmlns:cdr="http://schemas.openxmlformats.org/drawingml/2006/chartDrawing">
    <cdr:from>
      <cdr:x>0</cdr:x>
      <cdr:y>0.92333</cdr:y>
    </cdr:from>
    <cdr:to>
      <cdr:x>0.61641</cdr:x>
      <cdr:y>1</cdr:y>
    </cdr:to>
    <cdr:sp macro="" textlink="">
      <cdr:nvSpPr>
        <cdr:cNvPr id="4" name="SourceBox">
          <a:extLst xmlns:a="http://schemas.openxmlformats.org/drawingml/2006/main">
            <a:ext uri="{FF2B5EF4-FFF2-40B4-BE49-F238E27FC236}">
              <a16:creationId xmlns:a16="http://schemas.microsoft.com/office/drawing/2014/main" id="{1F117B8B-964E-347F-A377-A6458F808E43}"/>
            </a:ext>
          </a:extLst>
        </cdr:cNvPr>
        <cdr:cNvSpPr txBox="1"/>
      </cdr:nvSpPr>
      <cdr:spPr>
        <a:xfrm xmlns:a="http://schemas.openxmlformats.org/drawingml/2006/main">
          <a:off x="0" y="5461922"/>
          <a:ext cx="5963136" cy="453562"/>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Urban-Brookings Tax Policy Center Microsimulation Model (version 1006-1).</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0.91682</cdr:x>
      <cdr:y>0.06572</cdr:y>
    </cdr:to>
    <cdr:sp macro="" textlink="">
      <cdr:nvSpPr>
        <cdr:cNvPr id="5" name="TitleBox">
          <a:extLst xmlns:a="http://schemas.openxmlformats.org/drawingml/2006/main">
            <a:ext uri="{FF2B5EF4-FFF2-40B4-BE49-F238E27FC236}">
              <a16:creationId xmlns:a16="http://schemas.microsoft.com/office/drawing/2014/main" id="{4397F214-CA13-82AE-2287-8138D21F5666}"/>
            </a:ext>
          </a:extLst>
        </cdr:cNvPr>
        <cdr:cNvSpPr txBox="1"/>
      </cdr:nvSpPr>
      <cdr:spPr>
        <a:xfrm xmlns:a="http://schemas.openxmlformats.org/drawingml/2006/main">
          <a:off x="0" y="0"/>
          <a:ext cx="8869232" cy="38876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Combined Effect of the 2001–06</a:t>
          </a:r>
          <a:r>
            <a:rPr lang="en-US" sz="2000" b="1" kern="1200" baseline="0">
              <a:latin typeface="Avenir TPC" panose="020B0503020203020204" pitchFamily="34" charset="0"/>
            </a:rPr>
            <a:t> Tax Cuts</a:t>
          </a:r>
          <a:endParaRPr lang="en-US" sz="2000" b="1" kern="1200">
            <a:latin typeface="Avenir TPC" panose="020B0503020203020204" pitchFamily="34" charset="0"/>
          </a:endParaRPr>
        </a:p>
      </cdr:txBody>
    </cdr:sp>
  </cdr:relSizeAnchor>
  <cdr:relSizeAnchor xmlns:cdr="http://schemas.openxmlformats.org/drawingml/2006/chartDrawing">
    <cdr:from>
      <cdr:x>0</cdr:x>
      <cdr:y>0.06572</cdr:y>
    </cdr:from>
    <cdr:to>
      <cdr:x>0.88266</cdr:x>
      <cdr:y>0.12049</cdr:y>
    </cdr:to>
    <cdr:sp macro="" textlink="">
      <cdr:nvSpPr>
        <cdr:cNvPr id="6" name="SubTitleBox">
          <a:extLst xmlns:a="http://schemas.openxmlformats.org/drawingml/2006/main">
            <a:ext uri="{FF2B5EF4-FFF2-40B4-BE49-F238E27FC236}">
              <a16:creationId xmlns:a16="http://schemas.microsoft.com/office/drawing/2014/main" id="{B42CF421-653A-0604-AAA4-ED16D80092DD}"/>
            </a:ext>
          </a:extLst>
        </cdr:cNvPr>
        <cdr:cNvSpPr txBox="1"/>
      </cdr:nvSpPr>
      <cdr:spPr>
        <a:xfrm xmlns:a="http://schemas.openxmlformats.org/drawingml/2006/main">
          <a:off x="0" y="388767"/>
          <a:ext cx="8538774" cy="32397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Average percent federal tax change by cash income percentile, 2010</a:t>
          </a:r>
        </a:p>
      </cdr:txBody>
    </cdr:sp>
  </cdr:relSizeAnchor>
  <cdr:relSizeAnchor xmlns:cdr="http://schemas.openxmlformats.org/drawingml/2006/chartDrawing">
    <cdr:from>
      <cdr:x>0</cdr:x>
      <cdr:y>0.12268</cdr:y>
    </cdr:from>
    <cdr:to>
      <cdr:x>0.32881</cdr:x>
      <cdr:y>0.16211</cdr:y>
    </cdr:to>
    <cdr:sp macro="" textlink="">
      <cdr:nvSpPr>
        <cdr:cNvPr id="7" name="YAxisLabelBox">
          <a:extLst xmlns:a="http://schemas.openxmlformats.org/drawingml/2006/main">
            <a:ext uri="{FF2B5EF4-FFF2-40B4-BE49-F238E27FC236}">
              <a16:creationId xmlns:a16="http://schemas.microsoft.com/office/drawing/2014/main" id="{C64C6A51-1007-D4EA-D8CA-B38178665CAF}"/>
            </a:ext>
          </a:extLst>
        </cdr:cNvPr>
        <cdr:cNvSpPr txBox="1"/>
      </cdr:nvSpPr>
      <cdr:spPr>
        <a:xfrm xmlns:a="http://schemas.openxmlformats.org/drawingml/2006/main">
          <a:off x="0" y="711200"/>
          <a:ext cx="3175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Y axis title (unit)</a:t>
          </a:r>
        </a:p>
      </cdr:txBody>
    </cdr:sp>
  </cdr:relSizeAnchor>
</c:userShapes>
</file>

<file path=xl/drawings/drawing10.xml><?xml version="1.0" encoding="utf-8"?>
<xdr:wsDr xmlns:xdr="http://schemas.openxmlformats.org/drawingml/2006/spreadsheetDrawing" xmlns:a="http://schemas.openxmlformats.org/drawingml/2006/main">
  <xdr:twoCellAnchor>
    <xdr:from>
      <xdr:col>4</xdr:col>
      <xdr:colOff>52387</xdr:colOff>
      <xdr:row>0</xdr:row>
      <xdr:rowOff>0</xdr:rowOff>
    </xdr:from>
    <xdr:to>
      <xdr:col>18</xdr:col>
      <xdr:colOff>240601</xdr:colOff>
      <xdr:row>34</xdr:row>
      <xdr:rowOff>148971</xdr:rowOff>
    </xdr:to>
    <xdr:graphicFrame macro="">
      <xdr:nvGraphicFramePr>
        <xdr:cNvPr id="4" name="Chart 3">
          <a:extLst>
            <a:ext uri="{FF2B5EF4-FFF2-40B4-BE49-F238E27FC236}">
              <a16:creationId xmlns:a16="http://schemas.microsoft.com/office/drawing/2014/main" id="{75627E58-B76A-8748-7C5B-A0BEE9E9B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148828</xdr:colOff>
      <xdr:row>7</xdr:row>
      <xdr:rowOff>89298</xdr:rowOff>
    </xdr:from>
    <xdr:to>
      <xdr:col>22</xdr:col>
      <xdr:colOff>267890</xdr:colOff>
      <xdr:row>14</xdr:row>
      <xdr:rowOff>89298</xdr:rowOff>
    </xdr:to>
    <xdr:sp macro="" textlink="">
      <xdr:nvSpPr>
        <xdr:cNvPr id="6" name="TextBox 5">
          <a:extLst>
            <a:ext uri="{FF2B5EF4-FFF2-40B4-BE49-F238E27FC236}">
              <a16:creationId xmlns:a16="http://schemas.microsoft.com/office/drawing/2014/main" id="{C905F98B-BA8C-4D19-A938-D2D19DD68710}"/>
            </a:ext>
          </a:extLst>
        </xdr:cNvPr>
        <xdr:cNvSpPr txBox="1"/>
      </xdr:nvSpPr>
      <xdr:spPr>
        <a:xfrm>
          <a:off x="12546211" y="1369220"/>
          <a:ext cx="3467695" cy="1145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FF"/>
              </a:solidFill>
              <a:latin typeface="Avenir TPC" panose="020B0503020203020204" pitchFamily="34" charset="0"/>
            </a:rPr>
            <a:t>Refrain from showing too many data series on one graph. Focus on demonstrating your main point.</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0.46835</cdr:x>
      <cdr:y>0.89143</cdr:y>
    </cdr:from>
    <cdr:to>
      <cdr:x>0.6014</cdr:x>
      <cdr:y>0.93921</cdr:y>
    </cdr:to>
    <cdr:sp macro="" textlink="">
      <cdr:nvSpPr>
        <cdr:cNvPr id="2" name="XAxisBox">
          <a:extLst xmlns:a="http://schemas.openxmlformats.org/drawingml/2006/main">
            <a:ext uri="{FF2B5EF4-FFF2-40B4-BE49-F238E27FC236}">
              <a16:creationId xmlns:a16="http://schemas.microsoft.com/office/drawing/2014/main" id="{0CFDFE31-B6B9-78AE-528D-6A0A744C92EC}"/>
            </a:ext>
          </a:extLst>
        </cdr:cNvPr>
        <cdr:cNvSpPr txBox="1"/>
      </cdr:nvSpPr>
      <cdr:spPr>
        <a:xfrm xmlns:a="http://schemas.openxmlformats.org/drawingml/2006/main">
          <a:off x="4522455" y="5167872"/>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0.92333</cdr:y>
    </cdr:from>
    <cdr:to>
      <cdr:x>0.27373</cdr:x>
      <cdr:y>1</cdr:y>
    </cdr:to>
    <cdr:sp macro="" textlink="">
      <cdr:nvSpPr>
        <cdr:cNvPr id="4" name="SourceBox">
          <a:extLst xmlns:a="http://schemas.openxmlformats.org/drawingml/2006/main">
            <a:ext uri="{FF2B5EF4-FFF2-40B4-BE49-F238E27FC236}">
              <a16:creationId xmlns:a16="http://schemas.microsoft.com/office/drawing/2014/main" id="{5B29413C-EDC4-AD12-A227-744FA84E3C60}"/>
            </a:ext>
          </a:extLst>
        </cdr:cNvPr>
        <cdr:cNvSpPr txBox="1"/>
      </cdr:nvSpPr>
      <cdr:spPr>
        <a:xfrm xmlns:a="http://schemas.openxmlformats.org/drawingml/2006/main">
          <a:off x="0" y="5352796"/>
          <a:ext cx="2643188" cy="44450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OECD Tax</a:t>
          </a:r>
          <a:r>
            <a:rPr lang="en-US" sz="1100" b="0" kern="1200" baseline="0">
              <a:latin typeface="Avenir TPC" panose="020B0503020203020204" pitchFamily="34" charset="0"/>
            </a:rPr>
            <a:t> Statistics, 2010.</a:t>
          </a:r>
          <a:endParaRPr lang="en-US" sz="1100" b="0" kern="1200">
            <a:latin typeface="Avenir TPC" panose="020B0503020203020204" pitchFamily="34" charset="0"/>
          </a:endParaRP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0.88828</cdr:x>
      <cdr:y>0.06572</cdr:y>
    </cdr:to>
    <cdr:sp macro="" textlink="">
      <cdr:nvSpPr>
        <cdr:cNvPr id="5" name="TitleBox">
          <a:extLst xmlns:a="http://schemas.openxmlformats.org/drawingml/2006/main">
            <a:ext uri="{FF2B5EF4-FFF2-40B4-BE49-F238E27FC236}">
              <a16:creationId xmlns:a16="http://schemas.microsoft.com/office/drawing/2014/main" id="{A8B1F6A0-9820-B735-1C61-6988FFA46D74}"/>
            </a:ext>
          </a:extLst>
        </cdr:cNvPr>
        <cdr:cNvSpPr txBox="1"/>
      </cdr:nvSpPr>
      <cdr:spPr>
        <a:xfrm xmlns:a="http://schemas.openxmlformats.org/drawingml/2006/main">
          <a:off x="0" y="0"/>
          <a:ext cx="8577262"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United States Tax Burden</a:t>
          </a:r>
          <a:r>
            <a:rPr lang="en-US" sz="2000" b="1" kern="1200" baseline="0">
              <a:latin typeface="Avenir TPC" panose="020B0503020203020204" pitchFamily="34" charset="0"/>
            </a:rPr>
            <a:t> Lags Behind Peer Countries</a:t>
          </a:r>
          <a:endParaRPr lang="en-US" sz="2000" b="1" kern="1200">
            <a:latin typeface="Avenir TPC" panose="020B0503020203020204" pitchFamily="34" charset="0"/>
          </a:endParaRP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F996DB60-9AA0-8702-82A5-FC106E0163EC}"/>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OECD Countries, 2008</a:t>
          </a:r>
        </a:p>
      </cdr:txBody>
    </cdr:sp>
  </cdr:relSizeAnchor>
  <cdr:relSizeAnchor xmlns:cdr="http://schemas.openxmlformats.org/drawingml/2006/chartDrawing">
    <cdr:from>
      <cdr:x>0</cdr:x>
      <cdr:y>0.12268</cdr:y>
    </cdr:from>
    <cdr:to>
      <cdr:x>0.37731</cdr:x>
      <cdr:y>0.16266</cdr:y>
    </cdr:to>
    <cdr:sp macro="" textlink="">
      <cdr:nvSpPr>
        <cdr:cNvPr id="7" name="YAxisLabelBox">
          <a:extLst xmlns:a="http://schemas.openxmlformats.org/drawingml/2006/main">
            <a:ext uri="{FF2B5EF4-FFF2-40B4-BE49-F238E27FC236}">
              <a16:creationId xmlns:a16="http://schemas.microsoft.com/office/drawing/2014/main" id="{D5B9DEEE-9CE1-A5E9-BDDB-C85A3677D0F7}"/>
            </a:ext>
          </a:extLst>
        </cdr:cNvPr>
        <cdr:cNvSpPr txBox="1"/>
      </cdr:nvSpPr>
      <cdr:spPr>
        <a:xfrm xmlns:a="http://schemas.openxmlformats.org/drawingml/2006/main">
          <a:off x="0" y="711199"/>
          <a:ext cx="3643312" cy="2317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Taxes as a share of Gross Domestic Product </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3</xdr:row>
      <xdr:rowOff>190500</xdr:rowOff>
    </xdr:from>
    <xdr:to>
      <xdr:col>0</xdr:col>
      <xdr:colOff>0</xdr:colOff>
      <xdr:row>34</xdr:row>
      <xdr:rowOff>38100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414337</xdr:colOff>
      <xdr:row>0</xdr:row>
      <xdr:rowOff>0</xdr:rowOff>
    </xdr:from>
    <xdr:to>
      <xdr:col>19</xdr:col>
      <xdr:colOff>335851</xdr:colOff>
      <xdr:row>37</xdr:row>
      <xdr:rowOff>82296</xdr:rowOff>
    </xdr:to>
    <xdr:graphicFrame macro="">
      <xdr:nvGraphicFramePr>
        <xdr:cNvPr id="3" name="Chart 2">
          <a:extLst>
            <a:ext uri="{FF2B5EF4-FFF2-40B4-BE49-F238E27FC236}">
              <a16:creationId xmlns:a16="http://schemas.microsoft.com/office/drawing/2014/main" id="{A881B9ED-36B2-C8FF-50D2-6158F264A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396876</xdr:colOff>
      <xdr:row>37</xdr:row>
      <xdr:rowOff>99219</xdr:rowOff>
    </xdr:from>
    <xdr:to>
      <xdr:col>19</xdr:col>
      <xdr:colOff>319184</xdr:colOff>
      <xdr:row>77</xdr:row>
      <xdr:rowOff>74359</xdr:rowOff>
    </xdr:to>
    <xdr:graphicFrame macro="">
      <xdr:nvGraphicFramePr>
        <xdr:cNvPr id="9" name="Chart 8">
          <a:extLst>
            <a:ext uri="{FF2B5EF4-FFF2-40B4-BE49-F238E27FC236}">
              <a16:creationId xmlns:a16="http://schemas.microsoft.com/office/drawing/2014/main" id="{0B0866F5-0D10-4E72-B676-335CE5B34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0.00744</cdr:x>
      <cdr:y>0.77007</cdr:y>
    </cdr:from>
    <cdr:to>
      <cdr:x>0.98363</cdr:x>
      <cdr:y>0.93976</cdr:y>
    </cdr:to>
    <cdr:sp macro="" textlink="">
      <cdr:nvSpPr>
        <cdr:cNvPr id="2" name="TextBox 1"/>
        <cdr:cNvSpPr txBox="1"/>
      </cdr:nvSpPr>
      <cdr:spPr>
        <a:xfrm xmlns:a="http://schemas.openxmlformats.org/drawingml/2006/main">
          <a:off x="63500" y="3149600"/>
          <a:ext cx="8331200" cy="55880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200"/>
            <a:t>Source:  Author's calculations based on tax credit data from the Internal Reenue Service, Statistics of Income; Ways and Means 2004 Green Book; and the Joint Committee</a:t>
          </a:r>
          <a:r>
            <a:rPr lang="en-US" sz="1200" baseline="0"/>
            <a:t> on Taxation.</a:t>
          </a:r>
          <a:endParaRPr lang="en-US" sz="1200"/>
        </a:p>
      </cdr:txBody>
    </cdr:sp>
  </cdr:relSizeAnchor>
</c:userShapes>
</file>

<file path=xl/drawings/drawing14.xml><?xml version="1.0" encoding="utf-8"?>
<c:userShapes xmlns:c="http://schemas.openxmlformats.org/drawingml/2006/chart">
  <cdr:relSizeAnchor xmlns:cdr="http://schemas.openxmlformats.org/drawingml/2006/chartDrawing">
    <cdr:from>
      <cdr:x>0.44024</cdr:x>
      <cdr:y>0.87008</cdr:y>
    </cdr:from>
    <cdr:to>
      <cdr:x>0.57328</cdr:x>
      <cdr:y>0.91786</cdr:y>
    </cdr:to>
    <cdr:sp macro="" textlink="">
      <cdr:nvSpPr>
        <cdr:cNvPr id="2" name="XAxisBox">
          <a:extLst xmlns:a="http://schemas.openxmlformats.org/drawingml/2006/main">
            <a:ext uri="{FF2B5EF4-FFF2-40B4-BE49-F238E27FC236}">
              <a16:creationId xmlns:a16="http://schemas.microsoft.com/office/drawing/2014/main" id="{8316177D-0A66-B497-68A2-AF59B58EC17F}"/>
            </a:ext>
          </a:extLst>
        </cdr:cNvPr>
        <cdr:cNvSpPr txBox="1"/>
      </cdr:nvSpPr>
      <cdr:spPr>
        <a:xfrm xmlns:a="http://schemas.openxmlformats.org/drawingml/2006/main">
          <a:off x="4250944" y="5044124"/>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0.92333</cdr:y>
    </cdr:from>
    <cdr:to>
      <cdr:x>0.47694</cdr:x>
      <cdr:y>1</cdr:y>
    </cdr:to>
    <cdr:sp macro="" textlink="">
      <cdr:nvSpPr>
        <cdr:cNvPr id="4" name="SourceBox">
          <a:extLst xmlns:a="http://schemas.openxmlformats.org/drawingml/2006/main">
            <a:ext uri="{FF2B5EF4-FFF2-40B4-BE49-F238E27FC236}">
              <a16:creationId xmlns:a16="http://schemas.microsoft.com/office/drawing/2014/main" id="{1F3DE8E2-3E97-833D-6CFF-63834FCDBF57}"/>
            </a:ext>
          </a:extLst>
        </cdr:cNvPr>
        <cdr:cNvSpPr txBox="1"/>
      </cdr:nvSpPr>
      <cdr:spPr>
        <a:xfrm xmlns:a="http://schemas.openxmlformats.org/drawingml/2006/main">
          <a:off x="0" y="5352796"/>
          <a:ext cx="4605338" cy="44450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Internal Revenue Service, Statistics of Income Division.</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0.42367</cdr:x>
      <cdr:y>0.06572</cdr:y>
    </cdr:to>
    <cdr:sp macro="" textlink="">
      <cdr:nvSpPr>
        <cdr:cNvPr id="5" name="TitleBox">
          <a:extLst xmlns:a="http://schemas.openxmlformats.org/drawingml/2006/main">
            <a:ext uri="{FF2B5EF4-FFF2-40B4-BE49-F238E27FC236}">
              <a16:creationId xmlns:a16="http://schemas.microsoft.com/office/drawing/2014/main" id="{BAAFE09C-15B7-A8CF-7818-9494CAF56C1C}"/>
            </a:ext>
          </a:extLst>
        </cdr:cNvPr>
        <cdr:cNvSpPr txBox="1"/>
      </cdr:nvSpPr>
      <cdr:spPr>
        <a:xfrm xmlns:a="http://schemas.openxmlformats.org/drawingml/2006/main">
          <a:off x="0" y="0"/>
          <a:ext cx="4090988"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Growth of Refundable Credits Over</a:t>
          </a:r>
          <a:r>
            <a:rPr lang="en-US" sz="2000" b="1" kern="1200" baseline="0">
              <a:latin typeface="Avenir TPC" panose="020B0503020203020204" pitchFamily="34" charset="0"/>
            </a:rPr>
            <a:t> Time</a:t>
          </a:r>
          <a:endParaRPr lang="en-US" sz="2000" b="1" kern="1200">
            <a:latin typeface="Avenir TPC" panose="020B0503020203020204" pitchFamily="34" charset="0"/>
          </a:endParaRP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E55A3FE8-EA5F-EB0A-29A0-318F58CCD26A}"/>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1975–2006</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1D1FB6F8-B4F5-4148-478F-A2C587E2EDF5}"/>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Billions of dollars (adjusted</a:t>
          </a:r>
          <a:r>
            <a:rPr lang="en-US" sz="1200" b="0" i="1" kern="1200" baseline="0">
              <a:latin typeface="Avenir TPC Italic" panose="020B0503020203090204" pitchFamily="34" charset="0"/>
            </a:rPr>
            <a:t> to 2006 levels)</a:t>
          </a:r>
          <a:endParaRPr lang="en-US" sz="1200" b="0" i="1" kern="1200">
            <a:latin typeface="Avenir TPC Italic" panose="020B050302020309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0.44024</cdr:x>
      <cdr:y>0.87008</cdr:y>
    </cdr:from>
    <cdr:to>
      <cdr:x>0.57328</cdr:x>
      <cdr:y>0.91786</cdr:y>
    </cdr:to>
    <cdr:sp macro="" textlink="">
      <cdr:nvSpPr>
        <cdr:cNvPr id="2" name="XAxisBox">
          <a:extLst xmlns:a="http://schemas.openxmlformats.org/drawingml/2006/main">
            <a:ext uri="{FF2B5EF4-FFF2-40B4-BE49-F238E27FC236}">
              <a16:creationId xmlns:a16="http://schemas.microsoft.com/office/drawing/2014/main" id="{8316177D-0A66-B497-68A2-AF59B58EC17F}"/>
            </a:ext>
          </a:extLst>
        </cdr:cNvPr>
        <cdr:cNvSpPr txBox="1"/>
      </cdr:nvSpPr>
      <cdr:spPr>
        <a:xfrm xmlns:a="http://schemas.openxmlformats.org/drawingml/2006/main">
          <a:off x="4250944" y="5044124"/>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0.92333</cdr:y>
    </cdr:from>
    <cdr:to>
      <cdr:x>0.47694</cdr:x>
      <cdr:y>1</cdr:y>
    </cdr:to>
    <cdr:sp macro="" textlink="">
      <cdr:nvSpPr>
        <cdr:cNvPr id="4" name="SourceBox">
          <a:extLst xmlns:a="http://schemas.openxmlformats.org/drawingml/2006/main">
            <a:ext uri="{FF2B5EF4-FFF2-40B4-BE49-F238E27FC236}">
              <a16:creationId xmlns:a16="http://schemas.microsoft.com/office/drawing/2014/main" id="{1F3DE8E2-3E97-833D-6CFF-63834FCDBF57}"/>
            </a:ext>
          </a:extLst>
        </cdr:cNvPr>
        <cdr:cNvSpPr txBox="1"/>
      </cdr:nvSpPr>
      <cdr:spPr>
        <a:xfrm xmlns:a="http://schemas.openxmlformats.org/drawingml/2006/main">
          <a:off x="0" y="5352796"/>
          <a:ext cx="4605338" cy="44450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Internal Revenue Service, Statistics of Income Division.</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0.42367</cdr:x>
      <cdr:y>0.06572</cdr:y>
    </cdr:to>
    <cdr:sp macro="" textlink="">
      <cdr:nvSpPr>
        <cdr:cNvPr id="5" name="TitleBox">
          <a:extLst xmlns:a="http://schemas.openxmlformats.org/drawingml/2006/main">
            <a:ext uri="{FF2B5EF4-FFF2-40B4-BE49-F238E27FC236}">
              <a16:creationId xmlns:a16="http://schemas.microsoft.com/office/drawing/2014/main" id="{BAAFE09C-15B7-A8CF-7818-9494CAF56C1C}"/>
            </a:ext>
          </a:extLst>
        </cdr:cNvPr>
        <cdr:cNvSpPr txBox="1"/>
      </cdr:nvSpPr>
      <cdr:spPr>
        <a:xfrm xmlns:a="http://schemas.openxmlformats.org/drawingml/2006/main">
          <a:off x="0" y="0"/>
          <a:ext cx="4090988"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Growth of Refundable Credits Over</a:t>
          </a:r>
          <a:r>
            <a:rPr lang="en-US" sz="2000" b="1" kern="1200" baseline="0">
              <a:latin typeface="Avenir TPC" panose="020B0503020203020204" pitchFamily="34" charset="0"/>
            </a:rPr>
            <a:t> Time</a:t>
          </a:r>
          <a:endParaRPr lang="en-US" sz="2000" b="1" kern="1200">
            <a:latin typeface="Avenir TPC" panose="020B0503020203020204" pitchFamily="34" charset="0"/>
          </a:endParaRP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E55A3FE8-EA5F-EB0A-29A0-318F58CCD26A}"/>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1975–2006</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1D1FB6F8-B4F5-4148-478F-A2C587E2EDF5}"/>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Billions of dollars (adjusted</a:t>
          </a:r>
          <a:r>
            <a:rPr lang="en-US" sz="1200" b="0" i="1" kern="1200" baseline="0">
              <a:latin typeface="Avenir TPC Italic" panose="020B0503020203090204" pitchFamily="34" charset="0"/>
            </a:rPr>
            <a:t> to 2006 levels)</a:t>
          </a:r>
          <a:endParaRPr lang="en-US" sz="1200" b="0" i="1" kern="1200">
            <a:latin typeface="Avenir TPC Italic" panose="020B050302020309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7</xdr:col>
      <xdr:colOff>319087</xdr:colOff>
      <xdr:row>11</xdr:row>
      <xdr:rowOff>76200</xdr:rowOff>
    </xdr:from>
    <xdr:to>
      <xdr:col>18</xdr:col>
      <xdr:colOff>335851</xdr:colOff>
      <xdr:row>47</xdr:row>
      <xdr:rowOff>44196</xdr:rowOff>
    </xdr:to>
    <xdr:graphicFrame macro="">
      <xdr:nvGraphicFramePr>
        <xdr:cNvPr id="3" name="Chart 2">
          <a:extLst>
            <a:ext uri="{FF2B5EF4-FFF2-40B4-BE49-F238E27FC236}">
              <a16:creationId xmlns:a16="http://schemas.microsoft.com/office/drawing/2014/main" id="{78C0566A-D268-1858-3D19-0D401E5D2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90487</xdr:colOff>
      <xdr:row>21</xdr:row>
      <xdr:rowOff>114300</xdr:rowOff>
    </xdr:from>
    <xdr:to>
      <xdr:col>21</xdr:col>
      <xdr:colOff>107251</xdr:colOff>
      <xdr:row>57</xdr:row>
      <xdr:rowOff>82296</xdr:rowOff>
    </xdr:to>
    <xdr:graphicFrame macro="">
      <xdr:nvGraphicFramePr>
        <xdr:cNvPr id="4" name="Chart 3">
          <a:extLst>
            <a:ext uri="{FF2B5EF4-FFF2-40B4-BE49-F238E27FC236}">
              <a16:creationId xmlns:a16="http://schemas.microsoft.com/office/drawing/2014/main" id="{DF3FD7D1-365C-91B7-48EF-F2393B2A0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492125</xdr:colOff>
      <xdr:row>13</xdr:row>
      <xdr:rowOff>142875</xdr:rowOff>
    </xdr:from>
    <xdr:to>
      <xdr:col>22</xdr:col>
      <xdr:colOff>206375</xdr:colOff>
      <xdr:row>20</xdr:row>
      <xdr:rowOff>15875</xdr:rowOff>
    </xdr:to>
    <xdr:sp macro="" textlink="">
      <xdr:nvSpPr>
        <xdr:cNvPr id="5" name="TextBox 4">
          <a:extLst>
            <a:ext uri="{FF2B5EF4-FFF2-40B4-BE49-F238E27FC236}">
              <a16:creationId xmlns:a16="http://schemas.microsoft.com/office/drawing/2014/main" id="{9E41AF77-BBE8-D5D1-4EF5-72FFA17A1DC0}"/>
            </a:ext>
          </a:extLst>
        </xdr:cNvPr>
        <xdr:cNvSpPr txBox="1"/>
      </xdr:nvSpPr>
      <xdr:spPr>
        <a:xfrm>
          <a:off x="15557500" y="2206625"/>
          <a:ext cx="3206750" cy="984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FF"/>
              </a:solidFill>
              <a:latin typeface="Avenir TPC" panose="020B0503020203020204" pitchFamily="34" charset="0"/>
            </a:rPr>
            <a:t>Use the "Label last point"</a:t>
          </a:r>
          <a:r>
            <a:rPr lang="en-US" sz="1400" b="1" baseline="0">
              <a:solidFill>
                <a:srgbClr val="FF00FF"/>
              </a:solidFill>
              <a:latin typeface="Avenir TPC" panose="020B0503020203020204" pitchFamily="34" charset="0"/>
            </a:rPr>
            <a:t> option on the TPC Graph Styles add in to transform the the left graph to the right</a:t>
          </a:r>
          <a:endParaRPr lang="en-US" sz="1400" b="1">
            <a:solidFill>
              <a:srgbClr val="FF00FF"/>
            </a:solidFill>
            <a:latin typeface="Avenir TPC" panose="020B0503020203020204" pitchFamily="34" charset="0"/>
          </a:endParaRPr>
        </a:p>
      </xdr:txBody>
    </xdr:sp>
    <xdr:clientData/>
  </xdr:twoCellAnchor>
</xdr:wsDr>
</file>

<file path=xl/drawings/drawing17.xml><?xml version="1.0" encoding="utf-8"?>
<c:userShapes xmlns:c="http://schemas.openxmlformats.org/drawingml/2006/chart">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0.89725</cdr:y>
    </cdr:from>
    <cdr:to>
      <cdr:x>1</cdr:x>
      <cdr:y>1</cdr:y>
    </cdr:to>
    <cdr:sp macro="" textlink="">
      <cdr:nvSpPr>
        <cdr:cNvPr id="4" name="SourceBox">
          <a:extLst xmlns:a="http://schemas.openxmlformats.org/drawingml/2006/main">
            <a:ext uri="{FF2B5EF4-FFF2-40B4-BE49-F238E27FC236}">
              <a16:creationId xmlns:a16="http://schemas.microsoft.com/office/drawing/2014/main" id="{5955B701-F960-D4B1-979E-8700EE550E5C}"/>
            </a:ext>
          </a:extLst>
        </cdr:cNvPr>
        <cdr:cNvSpPr txBox="1"/>
      </cdr:nvSpPr>
      <cdr:spPr>
        <a:xfrm xmlns:a="http://schemas.openxmlformats.org/drawingml/2006/main">
          <a:off x="0" y="5099050"/>
          <a:ext cx="9621139" cy="583946"/>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CBO, The Long-Term Budget Outlook, December 2007, Figure 1-1, p. 3.  http://www.cbo.gov/doc.cfm?index=8877&amp;type=2.</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0.64068</cdr:x>
      <cdr:y>0.06572</cdr:y>
    </cdr:to>
    <cdr:sp macro="" textlink="">
      <cdr:nvSpPr>
        <cdr:cNvPr id="5" name="TitleBox">
          <a:extLst xmlns:a="http://schemas.openxmlformats.org/drawingml/2006/main">
            <a:ext uri="{FF2B5EF4-FFF2-40B4-BE49-F238E27FC236}">
              <a16:creationId xmlns:a16="http://schemas.microsoft.com/office/drawing/2014/main" id="{80001973-22B8-6C2C-967D-5CE4E2A8EA07}"/>
            </a:ext>
          </a:extLst>
        </cdr:cNvPr>
        <cdr:cNvSpPr txBox="1"/>
      </cdr:nvSpPr>
      <cdr:spPr>
        <a:xfrm xmlns:a="http://schemas.openxmlformats.org/drawingml/2006/main">
          <a:off x="0" y="0"/>
          <a:ext cx="6186488"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CBO Long-Term Federal Spending and Revenue</a:t>
          </a:r>
        </a:p>
      </cdr:txBody>
    </cdr:sp>
  </cdr:relSizeAnchor>
  <cdr:relSizeAnchor xmlns:cdr="http://schemas.openxmlformats.org/drawingml/2006/chartDrawing">
    <cdr:from>
      <cdr:x>0</cdr:x>
      <cdr:y>0.06572</cdr:y>
    </cdr:from>
    <cdr:to>
      <cdr:x>0.70875</cdr:x>
      <cdr:y>0.12049</cdr:y>
    </cdr:to>
    <cdr:sp macro="" textlink="">
      <cdr:nvSpPr>
        <cdr:cNvPr id="6" name="SubTitleBox">
          <a:extLst xmlns:a="http://schemas.openxmlformats.org/drawingml/2006/main">
            <a:ext uri="{FF2B5EF4-FFF2-40B4-BE49-F238E27FC236}">
              <a16:creationId xmlns:a16="http://schemas.microsoft.com/office/drawing/2014/main" id="{3AD88A90-B743-9E65-2BAF-EB5BE4EDF1EC}"/>
            </a:ext>
          </a:extLst>
        </cdr:cNvPr>
        <cdr:cNvSpPr txBox="1"/>
      </cdr:nvSpPr>
      <cdr:spPr>
        <a:xfrm xmlns:a="http://schemas.openxmlformats.org/drawingml/2006/main">
          <a:off x="0" y="381000"/>
          <a:ext cx="6843712"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Actual 1962–2006 and projected 2007–2030 (pessimistic scenario)</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61D04A16-D34D-686A-8F9E-9FF20EB9C346}"/>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Share of GDP (%)</a:t>
          </a:r>
        </a:p>
        <a:p xmlns:a="http://schemas.openxmlformats.org/drawingml/2006/main">
          <a:endParaRPr lang="en-US" sz="1200" b="0" i="1" kern="1200">
            <a:latin typeface="Avenir TPC Italic" panose="020B050302020309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0.89725</cdr:y>
    </cdr:from>
    <cdr:to>
      <cdr:x>1</cdr:x>
      <cdr:y>1</cdr:y>
    </cdr:to>
    <cdr:sp macro="" textlink="">
      <cdr:nvSpPr>
        <cdr:cNvPr id="4" name="SourceBox">
          <a:extLst xmlns:a="http://schemas.openxmlformats.org/drawingml/2006/main">
            <a:ext uri="{FF2B5EF4-FFF2-40B4-BE49-F238E27FC236}">
              <a16:creationId xmlns:a16="http://schemas.microsoft.com/office/drawing/2014/main" id="{5955B701-F960-D4B1-979E-8700EE550E5C}"/>
            </a:ext>
          </a:extLst>
        </cdr:cNvPr>
        <cdr:cNvSpPr txBox="1"/>
      </cdr:nvSpPr>
      <cdr:spPr>
        <a:xfrm xmlns:a="http://schemas.openxmlformats.org/drawingml/2006/main">
          <a:off x="0" y="5099050"/>
          <a:ext cx="9621139" cy="583946"/>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CBO, The Long-Term Budget Outlook, December 2007, Figure 1-1, p. 3.  http://www.cbo.gov/doc.cfm?index=8877&amp;type=2.</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0.64068</cdr:x>
      <cdr:y>0.06572</cdr:y>
    </cdr:to>
    <cdr:sp macro="" textlink="">
      <cdr:nvSpPr>
        <cdr:cNvPr id="5" name="TitleBox">
          <a:extLst xmlns:a="http://schemas.openxmlformats.org/drawingml/2006/main">
            <a:ext uri="{FF2B5EF4-FFF2-40B4-BE49-F238E27FC236}">
              <a16:creationId xmlns:a16="http://schemas.microsoft.com/office/drawing/2014/main" id="{80001973-22B8-6C2C-967D-5CE4E2A8EA07}"/>
            </a:ext>
          </a:extLst>
        </cdr:cNvPr>
        <cdr:cNvSpPr txBox="1"/>
      </cdr:nvSpPr>
      <cdr:spPr>
        <a:xfrm xmlns:a="http://schemas.openxmlformats.org/drawingml/2006/main">
          <a:off x="0" y="0"/>
          <a:ext cx="6186488"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CBO Long-Term Federal Spending and Revenue</a:t>
          </a:r>
        </a:p>
      </cdr:txBody>
    </cdr:sp>
  </cdr:relSizeAnchor>
  <cdr:relSizeAnchor xmlns:cdr="http://schemas.openxmlformats.org/drawingml/2006/chartDrawing">
    <cdr:from>
      <cdr:x>0</cdr:x>
      <cdr:y>0.06572</cdr:y>
    </cdr:from>
    <cdr:to>
      <cdr:x>0.70875</cdr:x>
      <cdr:y>0.12049</cdr:y>
    </cdr:to>
    <cdr:sp macro="" textlink="">
      <cdr:nvSpPr>
        <cdr:cNvPr id="6" name="SubTitleBox">
          <a:extLst xmlns:a="http://schemas.openxmlformats.org/drawingml/2006/main">
            <a:ext uri="{FF2B5EF4-FFF2-40B4-BE49-F238E27FC236}">
              <a16:creationId xmlns:a16="http://schemas.microsoft.com/office/drawing/2014/main" id="{3AD88A90-B743-9E65-2BAF-EB5BE4EDF1EC}"/>
            </a:ext>
          </a:extLst>
        </cdr:cNvPr>
        <cdr:cNvSpPr txBox="1"/>
      </cdr:nvSpPr>
      <cdr:spPr>
        <a:xfrm xmlns:a="http://schemas.openxmlformats.org/drawingml/2006/main">
          <a:off x="0" y="381000"/>
          <a:ext cx="6843712"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Actual 1962–2006 and projected 2007–2030 (pessimistic scenario)</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61D04A16-D34D-686A-8F9E-9FF20EB9C346}"/>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Share of GDP (%)</a:t>
          </a:r>
        </a:p>
        <a:p xmlns:a="http://schemas.openxmlformats.org/drawingml/2006/main">
          <a:endParaRPr lang="en-US" sz="1200" b="0" i="1" kern="1200">
            <a:latin typeface="Avenir TPC Italic" panose="020B0503020203090204" pitchFamily="34" charset="0"/>
          </a:endParaRPr>
        </a:p>
      </cdr:txBody>
    </cdr:sp>
  </cdr:relSizeAnchor>
</c:userShapes>
</file>

<file path=xl/drawings/drawing19.xml><?xml version="1.0" encoding="utf-8"?>
<xdr:wsDr xmlns:xdr="http://schemas.openxmlformats.org/drawingml/2006/spreadsheetDrawing" xmlns:a="http://schemas.openxmlformats.org/drawingml/2006/main">
  <xdr:twoCellAnchor>
    <xdr:from>
      <xdr:col>6</xdr:col>
      <xdr:colOff>269081</xdr:colOff>
      <xdr:row>1</xdr:row>
      <xdr:rowOff>23813</xdr:rowOff>
    </xdr:from>
    <xdr:to>
      <xdr:col>20</xdr:col>
      <xdr:colOff>457295</xdr:colOff>
      <xdr:row>31</xdr:row>
      <xdr:rowOff>106109</xdr:rowOff>
    </xdr:to>
    <xdr:graphicFrame macro="">
      <xdr:nvGraphicFramePr>
        <xdr:cNvPr id="3" name="Chart 2">
          <a:extLst>
            <a:ext uri="{FF2B5EF4-FFF2-40B4-BE49-F238E27FC236}">
              <a16:creationId xmlns:a16="http://schemas.microsoft.com/office/drawing/2014/main" id="{644BBD49-0987-1820-4DDC-343D0DADE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0.4501</cdr:x>
      <cdr:y>0.87008</cdr:y>
    </cdr:from>
    <cdr:to>
      <cdr:x>0.58315</cdr:x>
      <cdr:y>0.91786</cdr:y>
    </cdr:to>
    <cdr:sp macro="" textlink="">
      <cdr:nvSpPr>
        <cdr:cNvPr id="2" name="XAxisBox">
          <a:extLst xmlns:a="http://schemas.openxmlformats.org/drawingml/2006/main">
            <a:ext uri="{FF2B5EF4-FFF2-40B4-BE49-F238E27FC236}">
              <a16:creationId xmlns:a16="http://schemas.microsoft.com/office/drawing/2014/main" id="{CC3E2469-C2E3-287C-06C7-8676209FEF81}"/>
            </a:ext>
          </a:extLst>
        </cdr:cNvPr>
        <cdr:cNvSpPr txBox="1"/>
      </cdr:nvSpPr>
      <cdr:spPr>
        <a:xfrm xmlns:a="http://schemas.openxmlformats.org/drawingml/2006/main">
          <a:off x="4346195" y="5044124"/>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0.92333</cdr:y>
    </cdr:from>
    <cdr:to>
      <cdr:x>0.23017</cdr:x>
      <cdr:y>1</cdr:y>
    </cdr:to>
    <cdr:sp macro="" textlink="">
      <cdr:nvSpPr>
        <cdr:cNvPr id="4" name="SourceBox">
          <a:extLst xmlns:a="http://schemas.openxmlformats.org/drawingml/2006/main">
            <a:ext uri="{FF2B5EF4-FFF2-40B4-BE49-F238E27FC236}">
              <a16:creationId xmlns:a16="http://schemas.microsoft.com/office/drawing/2014/main" id="{079080B0-6FCF-707F-91F6-DE751A4EA29D}"/>
            </a:ext>
          </a:extLst>
        </cdr:cNvPr>
        <cdr:cNvSpPr txBox="1"/>
      </cdr:nvSpPr>
      <cdr:spPr>
        <a:xfrm xmlns:a="http://schemas.openxmlformats.org/drawingml/2006/main">
          <a:off x="0" y="5352796"/>
          <a:ext cx="2222500" cy="44450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0.81725</cdr:x>
      <cdr:y>0.06572</cdr:y>
    </cdr:to>
    <cdr:sp macro="" textlink="">
      <cdr:nvSpPr>
        <cdr:cNvPr id="5" name="TitleBox">
          <a:extLst xmlns:a="http://schemas.openxmlformats.org/drawingml/2006/main">
            <a:ext uri="{FF2B5EF4-FFF2-40B4-BE49-F238E27FC236}">
              <a16:creationId xmlns:a16="http://schemas.microsoft.com/office/drawing/2014/main" id="{AC40FA6B-B668-0CDB-33B9-D89BBD9F43AC}"/>
            </a:ext>
          </a:extLst>
        </cdr:cNvPr>
        <cdr:cNvSpPr txBox="1"/>
      </cdr:nvSpPr>
      <cdr:spPr>
        <a:xfrm xmlns:a="http://schemas.openxmlformats.org/drawingml/2006/main">
          <a:off x="0" y="0"/>
          <a:ext cx="7891462"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This is the Title and</a:t>
          </a:r>
          <a:r>
            <a:rPr lang="en-US" sz="2000" b="1" kern="1200" baseline="0">
              <a:latin typeface="Avenir TPC" panose="020B0503020203020204" pitchFamily="34" charset="0"/>
            </a:rPr>
            <a:t> Highlights the Key Takeaway of the Chart</a:t>
          </a:r>
          <a:endParaRPr lang="en-US" sz="2000" b="1" kern="1200">
            <a:latin typeface="Avenir TPC" panose="020B0503020203020204" pitchFamily="34" charset="0"/>
          </a:endParaRPr>
        </a:p>
      </cdr:txBody>
    </cdr:sp>
  </cdr:relSizeAnchor>
  <cdr:relSizeAnchor xmlns:cdr="http://schemas.openxmlformats.org/drawingml/2006/chartDrawing">
    <cdr:from>
      <cdr:x>0</cdr:x>
      <cdr:y>0.06572</cdr:y>
    </cdr:from>
    <cdr:to>
      <cdr:x>0.4651</cdr:x>
      <cdr:y>0.12049</cdr:y>
    </cdr:to>
    <cdr:sp macro="" textlink="">
      <cdr:nvSpPr>
        <cdr:cNvPr id="6" name="SubTitleBox">
          <a:extLst xmlns:a="http://schemas.openxmlformats.org/drawingml/2006/main">
            <a:ext uri="{FF2B5EF4-FFF2-40B4-BE49-F238E27FC236}">
              <a16:creationId xmlns:a16="http://schemas.microsoft.com/office/drawing/2014/main" id="{26E3D95E-CCD8-45B2-4BCD-2BBCE6480ADA}"/>
            </a:ext>
          </a:extLst>
        </cdr:cNvPr>
        <cdr:cNvSpPr txBox="1"/>
      </cdr:nvSpPr>
      <cdr:spPr>
        <a:xfrm xmlns:a="http://schemas.openxmlformats.org/drawingml/2006/main">
          <a:off x="0" y="381000"/>
          <a:ext cx="4491038"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This is the subtitle and explains</a:t>
          </a:r>
          <a:r>
            <a:rPr lang="en-US" sz="1600" b="0" kern="1200" baseline="0">
              <a:latin typeface="Avenir TPC" panose="020B0503020203020204" pitchFamily="34" charset="0"/>
            </a:rPr>
            <a:t> the chart</a:t>
          </a:r>
          <a:endParaRPr lang="en-US" sz="1600" b="0" kern="1200">
            <a:latin typeface="Avenir TPC" panose="020B0503020203020204" pitchFamily="34" charset="0"/>
          </a:endParaRP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75E4F5BD-41B4-E5C1-3C5F-FB5C9ABF4CC9}"/>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Y axis title (unit)</a:t>
          </a:r>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351616</xdr:colOff>
      <xdr:row>26</xdr:row>
      <xdr:rowOff>21206</xdr:rowOff>
    </xdr:from>
    <xdr:to>
      <xdr:col>7</xdr:col>
      <xdr:colOff>43092</xdr:colOff>
      <xdr:row>70</xdr:row>
      <xdr:rowOff>111949</xdr:rowOff>
    </xdr:to>
    <xdr:graphicFrame macro="">
      <xdr:nvGraphicFramePr>
        <xdr:cNvPr id="3" name="Chart 2">
          <a:extLst>
            <a:ext uri="{FF2B5EF4-FFF2-40B4-BE49-F238E27FC236}">
              <a16:creationId xmlns:a16="http://schemas.microsoft.com/office/drawing/2014/main" id="{9752E6E3-06D1-D135-0027-E89DDD255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149794</xdr:colOff>
      <xdr:row>26</xdr:row>
      <xdr:rowOff>69911</xdr:rowOff>
    </xdr:from>
    <xdr:to>
      <xdr:col>14</xdr:col>
      <xdr:colOff>4632</xdr:colOff>
      <xdr:row>71</xdr:row>
      <xdr:rowOff>40063</xdr:rowOff>
    </xdr:to>
    <xdr:graphicFrame macro="">
      <xdr:nvGraphicFramePr>
        <xdr:cNvPr id="5" name="Chart 4">
          <a:extLst>
            <a:ext uri="{FF2B5EF4-FFF2-40B4-BE49-F238E27FC236}">
              <a16:creationId xmlns:a16="http://schemas.microsoft.com/office/drawing/2014/main" id="{4794EEC5-8A8C-802B-6849-1CEB22208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0.44253</cdr:x>
      <cdr:y>0.87008</cdr:y>
    </cdr:from>
    <cdr:to>
      <cdr:x>0.57558</cdr:x>
      <cdr:y>0.91786</cdr:y>
    </cdr:to>
    <cdr:sp macro="" textlink="">
      <cdr:nvSpPr>
        <cdr:cNvPr id="2" name="XAxisBox">
          <a:extLst xmlns:a="http://schemas.openxmlformats.org/drawingml/2006/main">
            <a:ext uri="{FF2B5EF4-FFF2-40B4-BE49-F238E27FC236}">
              <a16:creationId xmlns:a16="http://schemas.microsoft.com/office/drawing/2014/main" id="{12266905-92CF-6E37-E0CC-53AD1F5F187A}"/>
            </a:ext>
          </a:extLst>
        </cdr:cNvPr>
        <cdr:cNvSpPr txBox="1"/>
      </cdr:nvSpPr>
      <cdr:spPr>
        <a:xfrm xmlns:a="http://schemas.openxmlformats.org/drawingml/2006/main">
          <a:off x="4273138" y="5044124"/>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0.90663</cdr:y>
    </cdr:from>
    <cdr:to>
      <cdr:x>0.24252</cdr:x>
      <cdr:y>1</cdr:y>
    </cdr:to>
    <cdr:sp macro="" textlink="">
      <cdr:nvSpPr>
        <cdr:cNvPr id="4" name="SourceBox">
          <a:extLst xmlns:a="http://schemas.openxmlformats.org/drawingml/2006/main">
            <a:ext uri="{FF2B5EF4-FFF2-40B4-BE49-F238E27FC236}">
              <a16:creationId xmlns:a16="http://schemas.microsoft.com/office/drawing/2014/main" id="{15F4E7AB-11E7-5119-4984-DC9D724F9B12}"/>
            </a:ext>
          </a:extLst>
        </cdr:cNvPr>
        <cdr:cNvSpPr txBox="1"/>
      </cdr:nvSpPr>
      <cdr:spPr>
        <a:xfrm xmlns:a="http://schemas.openxmlformats.org/drawingml/2006/main">
          <a:off x="0" y="5100728"/>
          <a:ext cx="2344138" cy="525298"/>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0.32881</cdr:x>
      <cdr:y>0.06572</cdr:y>
    </cdr:to>
    <cdr:sp macro="" textlink="">
      <cdr:nvSpPr>
        <cdr:cNvPr id="5" name="TitleBox">
          <a:extLst xmlns:a="http://schemas.openxmlformats.org/drawingml/2006/main">
            <a:ext uri="{FF2B5EF4-FFF2-40B4-BE49-F238E27FC236}">
              <a16:creationId xmlns:a16="http://schemas.microsoft.com/office/drawing/2014/main" id="{B34DAC6D-32E8-8FB5-4ECC-FFA12A0BF276}"/>
            </a:ext>
          </a:extLst>
        </cdr:cNvPr>
        <cdr:cNvSpPr txBox="1"/>
      </cdr:nvSpPr>
      <cdr:spPr>
        <a:xfrm xmlns:a="http://schemas.openxmlformats.org/drawingml/2006/main">
          <a:off x="0" y="0"/>
          <a:ext cx="3175000"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Title in 20pt Title Case</a:t>
          </a: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5AF175D5-3B69-D55A-B42C-EA3D7D818F55}"/>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Subtitle in 16pt sentence case</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9DAEA8E5-EBDD-8C67-3EA6-C3C231EC7BC6}"/>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Y axis title (unit)</a:t>
          </a:r>
        </a:p>
      </cdr:txBody>
    </cdr:sp>
  </cdr:relSizeAnchor>
</c:userShapes>
</file>

<file path=xl/drawings/drawing23.xml><?xml version="1.0" encoding="utf-8"?>
<c:userShapes xmlns:c="http://schemas.openxmlformats.org/drawingml/2006/chart">
  <cdr:relSizeAnchor xmlns:cdr="http://schemas.openxmlformats.org/drawingml/2006/chartDrawing">
    <cdr:from>
      <cdr:x>0.47215</cdr:x>
      <cdr:y>0.8925</cdr:y>
    </cdr:from>
    <cdr:to>
      <cdr:x>0.6052</cdr:x>
      <cdr:y>0.94028</cdr:y>
    </cdr:to>
    <cdr:sp macro="" textlink="">
      <cdr:nvSpPr>
        <cdr:cNvPr id="2" name="XAxisBox">
          <a:extLst xmlns:a="http://schemas.openxmlformats.org/drawingml/2006/main">
            <a:ext uri="{FF2B5EF4-FFF2-40B4-BE49-F238E27FC236}">
              <a16:creationId xmlns:a16="http://schemas.microsoft.com/office/drawing/2014/main" id="{DF93AB2E-98CF-13C6-D2F2-D819B5B646B1}"/>
            </a:ext>
          </a:extLst>
        </cdr:cNvPr>
        <cdr:cNvSpPr txBox="1"/>
      </cdr:nvSpPr>
      <cdr:spPr>
        <a:xfrm xmlns:a="http://schemas.openxmlformats.org/drawingml/2006/main">
          <a:off x="4564489" y="5025884"/>
          <a:ext cx="1286217" cy="269064"/>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0.91107</cdr:x>
      <cdr:y>0.00026</cdr:y>
    </cdr:from>
    <cdr:to>
      <cdr:x>1</cdr:x>
      <cdr:y>0.1317</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603827" y="1498"/>
          <a:ext cx="858677" cy="762000"/>
        </a:xfrm>
        <a:prstGeom xmlns:a="http://schemas.openxmlformats.org/drawingml/2006/main" prst="rect">
          <a:avLst/>
        </a:prstGeom>
      </cdr:spPr>
    </cdr:pic>
  </cdr:relSizeAnchor>
  <cdr:relSizeAnchor xmlns:cdr="http://schemas.openxmlformats.org/drawingml/2006/chartDrawing">
    <cdr:from>
      <cdr:x>0</cdr:x>
      <cdr:y>0.90353</cdr:y>
    </cdr:from>
    <cdr:to>
      <cdr:x>0.24848</cdr:x>
      <cdr:y>1</cdr:y>
    </cdr:to>
    <cdr:sp macro="" textlink="">
      <cdr:nvSpPr>
        <cdr:cNvPr id="4" name="SourceBox">
          <a:extLst xmlns:a="http://schemas.openxmlformats.org/drawingml/2006/main">
            <a:ext uri="{FF2B5EF4-FFF2-40B4-BE49-F238E27FC236}">
              <a16:creationId xmlns:a16="http://schemas.microsoft.com/office/drawing/2014/main" id="{B400795B-20EB-5B77-3775-F6A4DB2E6931}"/>
            </a:ext>
          </a:extLst>
        </cdr:cNvPr>
        <cdr:cNvSpPr txBox="1"/>
      </cdr:nvSpPr>
      <cdr:spPr>
        <a:xfrm xmlns:a="http://schemas.openxmlformats.org/drawingml/2006/main">
          <a:off x="0" y="5087966"/>
          <a:ext cx="2402188" cy="543271"/>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0.32881</cdr:x>
      <cdr:y>0.06572</cdr:y>
    </cdr:to>
    <cdr:sp macro="" textlink="">
      <cdr:nvSpPr>
        <cdr:cNvPr id="5" name="TitleBox">
          <a:extLst xmlns:a="http://schemas.openxmlformats.org/drawingml/2006/main">
            <a:ext uri="{FF2B5EF4-FFF2-40B4-BE49-F238E27FC236}">
              <a16:creationId xmlns:a16="http://schemas.microsoft.com/office/drawing/2014/main" id="{989B0751-DF4B-742C-6AE7-55469090D607}"/>
            </a:ext>
          </a:extLst>
        </cdr:cNvPr>
        <cdr:cNvSpPr txBox="1"/>
      </cdr:nvSpPr>
      <cdr:spPr>
        <a:xfrm xmlns:a="http://schemas.openxmlformats.org/drawingml/2006/main">
          <a:off x="0" y="0"/>
          <a:ext cx="3175000"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Title in 20pt Title Case</a:t>
          </a: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DBBA1942-EED2-AE48-2AA0-8F81E43F3C71}"/>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Subtitle in 16pt sentence case</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FD2AE736-6668-BCBF-B496-9C1D6215C75A}"/>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Y axis title (unit)</a:t>
          </a:r>
        </a:p>
      </cdr:txBody>
    </cdr:sp>
  </cdr:relSizeAnchor>
</c:userShapes>
</file>

<file path=xl/drawings/drawing24.xml><?xml version="1.0" encoding="utf-8"?>
<xdr:wsDr xmlns:xdr="http://schemas.openxmlformats.org/drawingml/2006/spreadsheetDrawing" xmlns:a="http://schemas.openxmlformats.org/drawingml/2006/main">
  <xdr:twoCellAnchor>
    <xdr:from>
      <xdr:col>0</xdr:col>
      <xdr:colOff>766762</xdr:colOff>
      <xdr:row>7</xdr:row>
      <xdr:rowOff>19050</xdr:rowOff>
    </xdr:from>
    <xdr:to>
      <xdr:col>10</xdr:col>
      <xdr:colOff>469201</xdr:colOff>
      <xdr:row>37</xdr:row>
      <xdr:rowOff>63246</xdr:rowOff>
    </xdr:to>
    <xdr:graphicFrame macro="">
      <xdr:nvGraphicFramePr>
        <xdr:cNvPr id="4" name="Chart 3">
          <a:extLst>
            <a:ext uri="{FF2B5EF4-FFF2-40B4-BE49-F238E27FC236}">
              <a16:creationId xmlns:a16="http://schemas.microsoft.com/office/drawing/2014/main" id="{BECAD56F-74F9-62DA-66BC-4EBC85D5D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0.46064</cdr:x>
      <cdr:y>0.87008</cdr:y>
    </cdr:from>
    <cdr:to>
      <cdr:x>0.59369</cdr:x>
      <cdr:y>0.91786</cdr:y>
    </cdr:to>
    <cdr:sp macro="" textlink="">
      <cdr:nvSpPr>
        <cdr:cNvPr id="2" name="XAxisBox">
          <a:extLst xmlns:a="http://schemas.openxmlformats.org/drawingml/2006/main">
            <a:ext uri="{FF2B5EF4-FFF2-40B4-BE49-F238E27FC236}">
              <a16:creationId xmlns:a16="http://schemas.microsoft.com/office/drawing/2014/main" id="{1E0B294E-0C74-A724-CBEB-1BB818918059}"/>
            </a:ext>
          </a:extLst>
        </cdr:cNvPr>
        <cdr:cNvSpPr txBox="1"/>
      </cdr:nvSpPr>
      <cdr:spPr>
        <a:xfrm xmlns:a="http://schemas.openxmlformats.org/drawingml/2006/main">
          <a:off x="4447954" y="5044124"/>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0.92333</cdr:y>
    </cdr:from>
    <cdr:to>
      <cdr:x>0.23017</cdr:x>
      <cdr:y>1</cdr:y>
    </cdr:to>
    <cdr:sp macro="" textlink="">
      <cdr:nvSpPr>
        <cdr:cNvPr id="4" name="SourceBox">
          <a:extLst xmlns:a="http://schemas.openxmlformats.org/drawingml/2006/main">
            <a:ext uri="{FF2B5EF4-FFF2-40B4-BE49-F238E27FC236}">
              <a16:creationId xmlns:a16="http://schemas.microsoft.com/office/drawing/2014/main" id="{058E61E2-A096-C3C3-41CD-0D4D0C51DAA6}"/>
            </a:ext>
          </a:extLst>
        </cdr:cNvPr>
        <cdr:cNvSpPr txBox="1"/>
      </cdr:nvSpPr>
      <cdr:spPr>
        <a:xfrm xmlns:a="http://schemas.openxmlformats.org/drawingml/2006/main">
          <a:off x="0" y="5352796"/>
          <a:ext cx="2222500" cy="44450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0.32881</cdr:x>
      <cdr:y>0.06572</cdr:y>
    </cdr:to>
    <cdr:sp macro="" textlink="">
      <cdr:nvSpPr>
        <cdr:cNvPr id="5" name="TitleBox">
          <a:extLst xmlns:a="http://schemas.openxmlformats.org/drawingml/2006/main">
            <a:ext uri="{FF2B5EF4-FFF2-40B4-BE49-F238E27FC236}">
              <a16:creationId xmlns:a16="http://schemas.microsoft.com/office/drawing/2014/main" id="{39CCF11C-0860-FEB2-B013-2F552FE88A20}"/>
            </a:ext>
          </a:extLst>
        </cdr:cNvPr>
        <cdr:cNvSpPr txBox="1"/>
      </cdr:nvSpPr>
      <cdr:spPr>
        <a:xfrm xmlns:a="http://schemas.openxmlformats.org/drawingml/2006/main">
          <a:off x="0" y="0"/>
          <a:ext cx="3175000"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Title in 20pt Title Case</a:t>
          </a: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315286FF-0F5C-AD17-098C-6F61A46A981A}"/>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Subtitle in 16pt sentence case</a:t>
          </a:r>
        </a:p>
      </cdr:txBody>
    </cdr:sp>
  </cdr:relSizeAnchor>
  <cdr:relSizeAnchor xmlns:cdr="http://schemas.openxmlformats.org/drawingml/2006/chartDrawing">
    <cdr:from>
      <cdr:x>0</cdr:x>
      <cdr:y>0.11829</cdr:y>
    </cdr:from>
    <cdr:to>
      <cdr:x>0.32881</cdr:x>
      <cdr:y>0.16211</cdr:y>
    </cdr:to>
    <cdr:sp macro="" textlink="">
      <cdr:nvSpPr>
        <cdr:cNvPr id="7" name="YAxisLabelBox">
          <a:extLst xmlns:a="http://schemas.openxmlformats.org/drawingml/2006/main">
            <a:ext uri="{FF2B5EF4-FFF2-40B4-BE49-F238E27FC236}">
              <a16:creationId xmlns:a16="http://schemas.microsoft.com/office/drawing/2014/main" id="{B988C121-F971-1BE1-4048-65DB60BF06A7}"/>
            </a:ext>
          </a:extLst>
        </cdr:cNvPr>
        <cdr:cNvSpPr txBox="1"/>
      </cdr:nvSpPr>
      <cdr:spPr>
        <a:xfrm xmlns:a="http://schemas.openxmlformats.org/drawingml/2006/main">
          <a:off x="0" y="685781"/>
          <a:ext cx="3175010" cy="2540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Y axis title (unit)</a:t>
          </a:r>
        </a:p>
      </cdr:txBody>
    </cdr:sp>
  </cdr:relSizeAnchor>
  <cdr:relSizeAnchor xmlns:cdr="http://schemas.openxmlformats.org/drawingml/2006/chartDrawing">
    <cdr:from>
      <cdr:x>0.69296</cdr:x>
      <cdr:y>0.15444</cdr:y>
    </cdr:from>
    <cdr:to>
      <cdr:x>0.84685</cdr:x>
      <cdr:y>0.26945</cdr:y>
    </cdr:to>
    <cdr:sp macro="" textlink="">
      <cdr:nvSpPr>
        <cdr:cNvPr id="10" name="TextBox 9">
          <a:extLst xmlns:a="http://schemas.openxmlformats.org/drawingml/2006/main">
            <a:ext uri="{FF2B5EF4-FFF2-40B4-BE49-F238E27FC236}">
              <a16:creationId xmlns:a16="http://schemas.microsoft.com/office/drawing/2014/main" id="{F6DC55D4-E53A-CE16-69DB-83203A919501}"/>
            </a:ext>
          </a:extLst>
        </cdr:cNvPr>
        <cdr:cNvSpPr txBox="1"/>
      </cdr:nvSpPr>
      <cdr:spPr>
        <a:xfrm xmlns:a="http://schemas.openxmlformats.org/drawingml/2006/main">
          <a:off x="6691313" y="895350"/>
          <a:ext cx="1485900" cy="666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solidFill>
                <a:srgbClr val="FF00FF"/>
              </a:solidFill>
              <a:latin typeface="Avenir TPC" panose="020B0503020203020204" pitchFamily="34" charset="0"/>
            </a:rPr>
            <a:t>Either insert a legend or label last</a:t>
          </a:r>
          <a:r>
            <a:rPr lang="en-US" sz="1200" b="1" kern="1200" baseline="0">
              <a:solidFill>
                <a:srgbClr val="FF00FF"/>
              </a:solidFill>
              <a:latin typeface="Avenir TPC" panose="020B0503020203020204" pitchFamily="34" charset="0"/>
            </a:rPr>
            <a:t> value of each series</a:t>
          </a:r>
          <a:endParaRPr lang="en-US" sz="1200" b="1" kern="1200">
            <a:solidFill>
              <a:srgbClr val="FF00FF"/>
            </a:solidFill>
            <a:latin typeface="Avenir TPC" panose="020B0503020203020204" pitchFamily="34" charset="0"/>
          </a:endParaRPr>
        </a:p>
      </cdr:txBody>
    </cdr:sp>
  </cdr:relSizeAnchor>
  <cdr:relSizeAnchor xmlns:cdr="http://schemas.openxmlformats.org/drawingml/2006/chartDrawing">
    <cdr:from>
      <cdr:x>0.61602</cdr:x>
      <cdr:y>0.17252</cdr:y>
    </cdr:from>
    <cdr:to>
      <cdr:x>0.69099</cdr:x>
      <cdr:y>0.20702</cdr:y>
    </cdr:to>
    <cdr:cxnSp macro="">
      <cdr:nvCxnSpPr>
        <cdr:cNvPr id="12" name="Straight Arrow Connector 11">
          <a:extLst xmlns:a="http://schemas.openxmlformats.org/drawingml/2006/main">
            <a:ext uri="{FF2B5EF4-FFF2-40B4-BE49-F238E27FC236}">
              <a16:creationId xmlns:a16="http://schemas.microsoft.com/office/drawing/2014/main" id="{7B1982B9-5E9C-BD1D-18F7-D9EE68A3475C}"/>
            </a:ext>
          </a:extLst>
        </cdr:cNvPr>
        <cdr:cNvCxnSpPr/>
      </cdr:nvCxnSpPr>
      <cdr:spPr>
        <a:xfrm xmlns:a="http://schemas.openxmlformats.org/drawingml/2006/main" flipH="1" flipV="1">
          <a:off x="5948363" y="1000125"/>
          <a:ext cx="723900" cy="200025"/>
        </a:xfrm>
        <a:prstGeom xmlns:a="http://schemas.openxmlformats.org/drawingml/2006/main" prst="straightConnector1">
          <a:avLst/>
        </a:prstGeom>
        <a:ln xmlns:a="http://schemas.openxmlformats.org/drawingml/2006/main">
          <a:solidFill>
            <a:srgbClr val="FF00FF"/>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0.84274</cdr:x>
      <cdr:y>0.2585</cdr:y>
    </cdr:from>
    <cdr:to>
      <cdr:x>0.9159</cdr:x>
      <cdr:y>0.3401</cdr:y>
    </cdr:to>
    <cdr:cxnSp macro="">
      <cdr:nvCxnSpPr>
        <cdr:cNvPr id="13" name="Straight Arrow Connector 12">
          <a:extLst xmlns:a="http://schemas.openxmlformats.org/drawingml/2006/main">
            <a:ext uri="{FF2B5EF4-FFF2-40B4-BE49-F238E27FC236}">
              <a16:creationId xmlns:a16="http://schemas.microsoft.com/office/drawing/2014/main" id="{6024AEB2-9FAA-09A5-EFC1-E849C6123A9F}"/>
            </a:ext>
          </a:extLst>
        </cdr:cNvPr>
        <cdr:cNvCxnSpPr/>
      </cdr:nvCxnSpPr>
      <cdr:spPr>
        <a:xfrm xmlns:a="http://schemas.openxmlformats.org/drawingml/2006/main">
          <a:off x="8137525" y="1498600"/>
          <a:ext cx="706438" cy="473075"/>
        </a:xfrm>
        <a:prstGeom xmlns:a="http://schemas.openxmlformats.org/drawingml/2006/main" prst="straightConnector1">
          <a:avLst/>
        </a:prstGeom>
        <a:ln xmlns:a="http://schemas.openxmlformats.org/drawingml/2006/main">
          <a:solidFill>
            <a:srgbClr val="FF00FF"/>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26.xml><?xml version="1.0" encoding="utf-8"?>
<xdr:wsDr xmlns:xdr="http://schemas.openxmlformats.org/drawingml/2006/spreadsheetDrawing" xmlns:a="http://schemas.openxmlformats.org/drawingml/2006/main">
  <xdr:twoCellAnchor>
    <xdr:from>
      <xdr:col>2</xdr:col>
      <xdr:colOff>185737</xdr:colOff>
      <xdr:row>0</xdr:row>
      <xdr:rowOff>0</xdr:rowOff>
    </xdr:from>
    <xdr:to>
      <xdr:col>16</xdr:col>
      <xdr:colOff>373951</xdr:colOff>
      <xdr:row>34</xdr:row>
      <xdr:rowOff>72771</xdr:rowOff>
    </xdr:to>
    <xdr:graphicFrame macro="">
      <xdr:nvGraphicFramePr>
        <xdr:cNvPr id="4" name="Chart 3">
          <a:extLst>
            <a:ext uri="{FF2B5EF4-FFF2-40B4-BE49-F238E27FC236}">
              <a16:creationId xmlns:a16="http://schemas.microsoft.com/office/drawing/2014/main" id="{D2EEFE6A-0058-E2A4-81D2-7B3F967F4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0.44747</cdr:x>
      <cdr:y>0.87008</cdr:y>
    </cdr:from>
    <cdr:to>
      <cdr:x>0.58052</cdr:x>
      <cdr:y>0.91786</cdr:y>
    </cdr:to>
    <cdr:sp macro="" textlink="">
      <cdr:nvSpPr>
        <cdr:cNvPr id="2" name="XAxisBox">
          <a:extLst xmlns:a="http://schemas.openxmlformats.org/drawingml/2006/main">
            <a:ext uri="{FF2B5EF4-FFF2-40B4-BE49-F238E27FC236}">
              <a16:creationId xmlns:a16="http://schemas.microsoft.com/office/drawing/2014/main" id="{0A9AE546-D867-F95E-08F5-A33DFBA6397C}"/>
            </a:ext>
          </a:extLst>
        </cdr:cNvPr>
        <cdr:cNvSpPr txBox="1"/>
      </cdr:nvSpPr>
      <cdr:spPr>
        <a:xfrm xmlns:a="http://schemas.openxmlformats.org/drawingml/2006/main">
          <a:off x="4320827" y="5044124"/>
          <a:ext cx="1284711" cy="276999"/>
        </a:xfrm>
        <a:prstGeom xmlns:a="http://schemas.openxmlformats.org/drawingml/2006/main" prst="rect">
          <a:avLst/>
        </a:prstGeom>
      </cdr:spPr>
      <cdr:txBody>
        <a:bodyPr xmlns:a="http://schemas.openxmlformats.org/drawingml/2006/main" vertOverflow="clip" vert="horz" wrap="none" rtlCol="0" anchor="ctr">
          <a:spAutoFit/>
        </a:bodyPr>
        <a:lstStyle xmlns:a="http://schemas.openxmlformats.org/drawingml/2006/main"/>
        <a:p xmlns:a="http://schemas.openxmlformats.org/drawingml/2006/main">
          <a:pPr algn="ctr"/>
          <a:r>
            <a:rPr lang="en-US" sz="1200" i="1" kern="1200">
              <a:latin typeface="Avenir TPC" panose="020B0503020203020204" pitchFamily="34" charset="0"/>
            </a:rPr>
            <a:t>X axis title (unit)</a:t>
          </a:r>
        </a:p>
      </cdr:txBody>
    </cdr:sp>
  </cdr:relSizeAnchor>
  <cdr:relSizeAnchor xmlns:cdr="http://schemas.openxmlformats.org/drawingml/2006/chartDrawing">
    <cdr:from>
      <cdr:x>0.90834</cdr:x>
      <cdr:y>0</cdr:y>
    </cdr:from>
    <cdr:to>
      <cdr:x>1</cdr:x>
      <cdr:y>0.13144</cdr:y>
    </cdr:to>
    <cdr:pic>
      <cdr:nvPicPr>
        <cdr:cNvPr id="3" name="TPClogo">
          <a:extLst xmlns:a="http://schemas.openxmlformats.org/drawingml/2006/main">
            <a:ext uri="{FF2B5EF4-FFF2-40B4-BE49-F238E27FC236}">
              <a16:creationId xmlns:a16="http://schemas.microsoft.com/office/drawing/2014/main" id="{00000000-0008-0000-0000-000002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9592563" y="0"/>
          <a:ext cx="885036" cy="762000"/>
        </a:xfrm>
        <a:prstGeom xmlns:a="http://schemas.openxmlformats.org/drawingml/2006/main" prst="rect">
          <a:avLst/>
        </a:prstGeom>
      </cdr:spPr>
    </cdr:pic>
  </cdr:relSizeAnchor>
  <cdr:relSizeAnchor xmlns:cdr="http://schemas.openxmlformats.org/drawingml/2006/chartDrawing">
    <cdr:from>
      <cdr:x>0</cdr:x>
      <cdr:y>0.92333</cdr:y>
    </cdr:from>
    <cdr:to>
      <cdr:x>0.23017</cdr:x>
      <cdr:y>1</cdr:y>
    </cdr:to>
    <cdr:sp macro="" textlink="">
      <cdr:nvSpPr>
        <cdr:cNvPr id="4" name="SourceBox">
          <a:extLst xmlns:a="http://schemas.openxmlformats.org/drawingml/2006/main">
            <a:ext uri="{FF2B5EF4-FFF2-40B4-BE49-F238E27FC236}">
              <a16:creationId xmlns:a16="http://schemas.microsoft.com/office/drawing/2014/main" id="{87784140-D859-C858-B379-B3FDA25C903C}"/>
            </a:ext>
          </a:extLst>
        </cdr:cNvPr>
        <cdr:cNvSpPr txBox="1"/>
      </cdr:nvSpPr>
      <cdr:spPr>
        <a:xfrm xmlns:a="http://schemas.openxmlformats.org/drawingml/2006/main">
          <a:off x="0" y="5352796"/>
          <a:ext cx="2222500" cy="444500"/>
        </a:xfrm>
        <a:prstGeom xmlns:a="http://schemas.openxmlformats.org/drawingml/2006/main" prst="rect">
          <a:avLst/>
        </a:prstGeom>
      </cdr:spPr>
      <cdr:txBody>
        <a:bodyPr xmlns:a="http://schemas.openxmlformats.org/drawingml/2006/main" vertOverflow="clip" vert="horz" rtlCol="0" anchor="b"/>
        <a:lstStyle xmlns:a="http://schemas.openxmlformats.org/drawingml/2006/main"/>
        <a:p xmlns:a="http://schemas.openxmlformats.org/drawingml/2006/main">
          <a:r>
            <a:rPr lang="en-US" sz="1100" b="1" kern="1200">
              <a:latin typeface="Avenir TPC" panose="020B0503020203020204" pitchFamily="34" charset="0"/>
            </a:rPr>
            <a:t>Source</a:t>
          </a:r>
          <a:r>
            <a:rPr lang="en-US" sz="1100" b="0" kern="1200">
              <a:latin typeface="Avenir TPC" panose="020B0503020203020204" pitchFamily="34" charset="0"/>
            </a:rPr>
            <a:t>: Source text goes here.</a:t>
          </a:r>
        </a:p>
        <a:p xmlns:a="http://schemas.openxmlformats.org/drawingml/2006/main">
          <a:r>
            <a:rPr lang="en-US" sz="1100" b="1" kern="1200">
              <a:latin typeface="Avenir TPC" panose="020B0503020203020204" pitchFamily="34" charset="0"/>
            </a:rPr>
            <a:t>Notes</a:t>
          </a:r>
          <a:r>
            <a:rPr lang="en-US" sz="1100" b="0" kern="1200">
              <a:latin typeface="Avenir TPC" panose="020B0503020203020204" pitchFamily="34" charset="0"/>
            </a:rPr>
            <a:t>: Notes text goes here</a:t>
          </a:r>
          <a:r>
            <a:rPr lang="en-US" sz="1100" b="1" kern="1200">
              <a:latin typeface="Avenir TPC" panose="020B0503020203020204" pitchFamily="34" charset="0"/>
            </a:rPr>
            <a:t>.</a:t>
          </a:r>
        </a:p>
      </cdr:txBody>
    </cdr:sp>
  </cdr:relSizeAnchor>
  <cdr:relSizeAnchor xmlns:cdr="http://schemas.openxmlformats.org/drawingml/2006/chartDrawing">
    <cdr:from>
      <cdr:x>0</cdr:x>
      <cdr:y>0</cdr:y>
    </cdr:from>
    <cdr:to>
      <cdr:x>0.32881</cdr:x>
      <cdr:y>0.06572</cdr:y>
    </cdr:to>
    <cdr:sp macro="" textlink="">
      <cdr:nvSpPr>
        <cdr:cNvPr id="5" name="TitleBox">
          <a:extLst xmlns:a="http://schemas.openxmlformats.org/drawingml/2006/main">
            <a:ext uri="{FF2B5EF4-FFF2-40B4-BE49-F238E27FC236}">
              <a16:creationId xmlns:a16="http://schemas.microsoft.com/office/drawing/2014/main" id="{529F5B92-0ABE-D5CF-0BFB-8DF74029CEAF}"/>
            </a:ext>
          </a:extLst>
        </cdr:cNvPr>
        <cdr:cNvSpPr txBox="1"/>
      </cdr:nvSpPr>
      <cdr:spPr>
        <a:xfrm xmlns:a="http://schemas.openxmlformats.org/drawingml/2006/main">
          <a:off x="0" y="0"/>
          <a:ext cx="3175000" cy="381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2000" b="1" kern="1200">
              <a:latin typeface="Avenir TPC" panose="020B0503020203020204" pitchFamily="34" charset="0"/>
            </a:rPr>
            <a:t>Title in 20pt Title Case</a:t>
          </a:r>
        </a:p>
      </cdr:txBody>
    </cdr:sp>
  </cdr:relSizeAnchor>
  <cdr:relSizeAnchor xmlns:cdr="http://schemas.openxmlformats.org/drawingml/2006/chartDrawing">
    <cdr:from>
      <cdr:x>0</cdr:x>
      <cdr:y>0.06572</cdr:y>
    </cdr:from>
    <cdr:to>
      <cdr:x>0.32881</cdr:x>
      <cdr:y>0.12049</cdr:y>
    </cdr:to>
    <cdr:sp macro="" textlink="">
      <cdr:nvSpPr>
        <cdr:cNvPr id="6" name="SubTitleBox">
          <a:extLst xmlns:a="http://schemas.openxmlformats.org/drawingml/2006/main">
            <a:ext uri="{FF2B5EF4-FFF2-40B4-BE49-F238E27FC236}">
              <a16:creationId xmlns:a16="http://schemas.microsoft.com/office/drawing/2014/main" id="{14C5151A-12CB-84E9-709B-06C9BB9BFC07}"/>
            </a:ext>
          </a:extLst>
        </cdr:cNvPr>
        <cdr:cNvSpPr txBox="1"/>
      </cdr:nvSpPr>
      <cdr:spPr>
        <a:xfrm xmlns:a="http://schemas.openxmlformats.org/drawingml/2006/main">
          <a:off x="0" y="381000"/>
          <a:ext cx="3175000" cy="3175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600" b="0" kern="1200">
              <a:latin typeface="Avenir TPC" panose="020B0503020203020204" pitchFamily="34" charset="0"/>
            </a:rPr>
            <a:t>Subtitle in 16pt sentence case</a:t>
          </a:r>
        </a:p>
      </cdr:txBody>
    </cdr:sp>
  </cdr:relSizeAnchor>
  <cdr:relSizeAnchor xmlns:cdr="http://schemas.openxmlformats.org/drawingml/2006/chartDrawing">
    <cdr:from>
      <cdr:x>0</cdr:x>
      <cdr:y>0.1402</cdr:y>
    </cdr:from>
    <cdr:to>
      <cdr:x>0.32881</cdr:x>
      <cdr:y>0.18402</cdr:y>
    </cdr:to>
    <cdr:sp macro="" textlink="">
      <cdr:nvSpPr>
        <cdr:cNvPr id="7" name="YAxisLabelBox">
          <a:extLst xmlns:a="http://schemas.openxmlformats.org/drawingml/2006/main">
            <a:ext uri="{FF2B5EF4-FFF2-40B4-BE49-F238E27FC236}">
              <a16:creationId xmlns:a16="http://schemas.microsoft.com/office/drawing/2014/main" id="{94DDCC15-0AF5-D045-BF42-C1B14584D04A}"/>
            </a:ext>
          </a:extLst>
        </cdr:cNvPr>
        <cdr:cNvSpPr txBox="1"/>
      </cdr:nvSpPr>
      <cdr:spPr>
        <a:xfrm xmlns:a="http://schemas.openxmlformats.org/drawingml/2006/main">
          <a:off x="0" y="812800"/>
          <a:ext cx="3175000" cy="254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200" b="0" i="1" kern="1200">
              <a:latin typeface="Avenir TPC Italic" panose="020B0503020203090204" pitchFamily="34" charset="0"/>
            </a:rPr>
            <a:t>Y axis title (unit)</a:t>
          </a:r>
        </a:p>
      </cdr:txBody>
    </cdr:sp>
  </cdr:relSizeAnchor>
</c:userShapes>
</file>

<file path=xl/theme/theme1.xml><?xml version="1.0" encoding="utf-8"?>
<a:theme xmlns:a="http://schemas.openxmlformats.org/drawingml/2006/main" name="Office Theme">
  <a:themeElements>
    <a:clrScheme name="TPC Categorical">
      <a:dk1>
        <a:sysClr val="windowText" lastClr="000000"/>
      </a:dk1>
      <a:lt1>
        <a:srgbClr val="FFFFFF"/>
      </a:lt1>
      <a:dk2>
        <a:srgbClr val="000000"/>
      </a:dk2>
      <a:lt2>
        <a:srgbClr val="FFFFFF"/>
      </a:lt2>
      <a:accent1>
        <a:srgbClr val="008BB0"/>
      </a:accent1>
      <a:accent2>
        <a:srgbClr val="F0573E"/>
      </a:accent2>
      <a:accent3>
        <a:srgbClr val="FCB64B"/>
      </a:accent3>
      <a:accent4>
        <a:srgbClr val="174A7C"/>
      </a:accent4>
      <a:accent5>
        <a:srgbClr val="BCBEC0"/>
      </a:accent5>
      <a:accent6>
        <a:srgbClr val="3F4F56"/>
      </a:accent6>
      <a:hlink>
        <a:srgbClr val="000000"/>
      </a:hlink>
      <a:folHlink>
        <a:srgbClr val="53535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TPC Categorical">
    <a:dk1>
      <a:sysClr val="windowText" lastClr="000000"/>
    </a:dk1>
    <a:lt1>
      <a:srgbClr val="FFFFFF"/>
    </a:lt1>
    <a:dk2>
      <a:srgbClr val="000000"/>
    </a:dk2>
    <a:lt2>
      <a:srgbClr val="FFFFFF"/>
    </a:lt2>
    <a:accent1>
      <a:srgbClr val="008BB0"/>
    </a:accent1>
    <a:accent2>
      <a:srgbClr val="F0573E"/>
    </a:accent2>
    <a:accent3>
      <a:srgbClr val="FCB64B"/>
    </a:accent3>
    <a:accent4>
      <a:srgbClr val="174A7C"/>
    </a:accent4>
    <a:accent5>
      <a:srgbClr val="BCBEC0"/>
    </a:accent5>
    <a:accent6>
      <a:srgbClr val="3F4F56"/>
    </a:accent6>
    <a:hlink>
      <a:srgbClr val="000000"/>
    </a:hlink>
    <a:folHlink>
      <a:srgbClr val="53535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banorg.box.com/s/r2akxvbgnk6pjza173orlrsy2lg48uzo" TargetMode="External"/><Relationship Id="rId1" Type="http://schemas.openxmlformats.org/officeDocument/2006/relationships/hyperlink" Target="https://urbanorg.box.com/s/cj2gk9oqod0eq62f594tw7m7ycxjdst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3" Type="http://schemas.openxmlformats.org/officeDocument/2006/relationships/hyperlink" Target="http://www.taxpolicycenter.org/taxfacts/displayafact.cfm?Docid=307&amp;Topic2id=95" TargetMode="External"/><Relationship Id="rId2" Type="http://schemas.openxmlformats.org/officeDocument/2006/relationships/hyperlink" Target="http://www.taxpolicycenter.org/taxfacts/displayafact.cfm?Docid=307&amp;Topic2id=95" TargetMode="External"/><Relationship Id="rId1" Type="http://schemas.openxmlformats.org/officeDocument/2006/relationships/hyperlink" Target="http://browse.oecdbookshop.org/oecd/pdfs/browseit/0109061E.PDF" TargetMode="External"/><Relationship Id="rId4"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4"/>
  <sheetViews>
    <sheetView tabSelected="1" workbookViewId="0">
      <selection activeCell="A8" sqref="A8:F8"/>
    </sheetView>
  </sheetViews>
  <sheetFormatPr defaultRowHeight="15.75"/>
  <cols>
    <col min="1" max="1" width="68.75" customWidth="1"/>
  </cols>
  <sheetData>
    <row r="1" spans="1:6" ht="30" customHeight="1">
      <c r="A1" s="71" t="s">
        <v>220</v>
      </c>
      <c r="B1" s="68"/>
      <c r="C1" s="68"/>
      <c r="D1" s="68"/>
      <c r="E1" s="68"/>
      <c r="F1" s="68"/>
    </row>
    <row r="2" spans="1:6" ht="30" customHeight="1">
      <c r="A2" s="69" t="s">
        <v>234</v>
      </c>
      <c r="B2" s="69"/>
      <c r="C2" s="69"/>
      <c r="D2" s="69"/>
      <c r="E2" s="69"/>
      <c r="F2" s="69"/>
    </row>
    <row r="3" spans="1:6" ht="30" customHeight="1">
      <c r="A3" s="70" t="s">
        <v>236</v>
      </c>
      <c r="B3" s="70"/>
      <c r="C3" s="70"/>
      <c r="D3" s="70"/>
      <c r="E3" s="70"/>
      <c r="F3" s="70"/>
    </row>
    <row r="4" spans="1:6" ht="30" customHeight="1">
      <c r="A4" s="70" t="s">
        <v>235</v>
      </c>
      <c r="B4" s="70"/>
      <c r="C4" s="70"/>
      <c r="D4" s="70"/>
      <c r="E4" s="70"/>
      <c r="F4" s="70"/>
    </row>
    <row r="5" spans="1:6" ht="81" customHeight="1">
      <c r="A5" s="69" t="s">
        <v>233</v>
      </c>
      <c r="B5" s="69"/>
      <c r="C5" s="69"/>
      <c r="D5" s="69"/>
      <c r="E5" s="69"/>
      <c r="F5" s="69"/>
    </row>
    <row r="6" spans="1:6" ht="48.75" customHeight="1">
      <c r="A6" s="69" t="s">
        <v>227</v>
      </c>
      <c r="B6" s="69"/>
      <c r="C6" s="69"/>
      <c r="D6" s="69"/>
      <c r="E6" s="69"/>
      <c r="F6" s="69"/>
    </row>
    <row r="7" spans="1:6" ht="21.75" customHeight="1">
      <c r="A7" s="69" t="s">
        <v>228</v>
      </c>
      <c r="B7" s="69"/>
      <c r="C7" s="69"/>
      <c r="D7" s="69"/>
      <c r="E7" s="69"/>
      <c r="F7" s="69"/>
    </row>
    <row r="8" spans="1:6" ht="21.75" customHeight="1">
      <c r="A8" s="69" t="s">
        <v>237</v>
      </c>
      <c r="B8" s="69"/>
      <c r="C8" s="69"/>
      <c r="D8" s="69"/>
      <c r="E8" s="69"/>
      <c r="F8" s="69"/>
    </row>
    <row r="9" spans="1:6" ht="39" customHeight="1">
      <c r="A9" s="69" t="s">
        <v>229</v>
      </c>
      <c r="B9" s="69"/>
      <c r="C9" s="69"/>
      <c r="D9" s="69"/>
      <c r="E9" s="69"/>
      <c r="F9" s="69"/>
    </row>
    <row r="10" spans="1:6" ht="84.75" customHeight="1">
      <c r="A10" s="69" t="s">
        <v>230</v>
      </c>
      <c r="B10" s="69"/>
      <c r="C10" s="69"/>
      <c r="D10" s="69"/>
      <c r="E10" s="69"/>
      <c r="F10" s="69"/>
    </row>
    <row r="11" spans="1:6" ht="47.25" customHeight="1">
      <c r="A11" s="69" t="s">
        <v>231</v>
      </c>
      <c r="B11" s="69"/>
      <c r="C11" s="69"/>
      <c r="D11" s="69"/>
      <c r="E11" s="69"/>
      <c r="F11" s="69"/>
    </row>
    <row r="12" spans="1:6" ht="47.25" customHeight="1">
      <c r="A12" s="69" t="s">
        <v>232</v>
      </c>
      <c r="B12" s="69"/>
      <c r="C12" s="69"/>
      <c r="D12" s="69"/>
      <c r="E12" s="69"/>
      <c r="F12" s="69"/>
    </row>
    <row r="13" spans="1:6">
      <c r="A13" s="60"/>
      <c r="B13" s="60"/>
      <c r="C13" s="60"/>
      <c r="D13" s="60"/>
      <c r="E13" s="60"/>
      <c r="F13" s="60"/>
    </row>
    <row r="14" spans="1:6">
      <c r="A14" s="61"/>
      <c r="B14" s="61"/>
      <c r="C14" s="61"/>
      <c r="D14" s="61"/>
      <c r="E14" s="61"/>
      <c r="F14" s="61"/>
    </row>
  </sheetData>
  <mergeCells count="12">
    <mergeCell ref="A2:F2"/>
    <mergeCell ref="A3:F3"/>
    <mergeCell ref="A4:F4"/>
    <mergeCell ref="A10:F10"/>
    <mergeCell ref="A11:F11"/>
    <mergeCell ref="A14:F14"/>
    <mergeCell ref="A12:F12"/>
    <mergeCell ref="A5:F5"/>
    <mergeCell ref="A6:F6"/>
    <mergeCell ref="A7:F7"/>
    <mergeCell ref="A8:F8"/>
    <mergeCell ref="A9:F9"/>
  </mergeCells>
  <hyperlinks>
    <hyperlink ref="A3" r:id="rId1" display="Download the &quot;Avenir TPC&quot; font" xr:uid="{AE17EBCF-9F1E-43C6-81CA-C7A32E44E7F0}"/>
    <hyperlink ref="A4" r:id="rId2" xr:uid="{E083FCC9-D8A1-42F2-B1E8-C79E6D636D88}"/>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129"/>
  <sheetViews>
    <sheetView showGridLines="0" zoomScale="106" zoomScaleNormal="106" workbookViewId="0">
      <selection activeCell="B31" sqref="B31"/>
    </sheetView>
  </sheetViews>
  <sheetFormatPr defaultColWidth="11" defaultRowHeight="15.75"/>
  <cols>
    <col min="1" max="1" width="25.625" style="74" customWidth="1"/>
    <col min="2" max="2" width="27.5" style="68" customWidth="1"/>
    <col min="3" max="3" width="8" style="68" customWidth="1"/>
    <col min="4" max="4" width="9.875" style="68" hidden="1" customWidth="1"/>
    <col min="5" max="5" width="17" style="68" customWidth="1"/>
    <col min="6" max="6" width="28.375" style="68" customWidth="1"/>
    <col min="7" max="8" width="28.5" style="68" customWidth="1"/>
    <col min="9" max="16384" width="11" style="68"/>
  </cols>
  <sheetData>
    <row r="1" spans="1:7" ht="46.5" customHeight="1">
      <c r="A1" s="107" t="s">
        <v>221</v>
      </c>
      <c r="B1" s="107"/>
      <c r="C1" s="107"/>
      <c r="D1" s="107"/>
      <c r="E1" s="107"/>
    </row>
    <row r="3" spans="1:7" ht="21.75" customHeight="1">
      <c r="A3" s="107" t="s">
        <v>222</v>
      </c>
      <c r="B3" s="107"/>
      <c r="C3" s="107"/>
      <c r="D3" s="107"/>
      <c r="E3" s="107"/>
      <c r="F3" s="72"/>
    </row>
    <row r="4" spans="1:7" ht="15" customHeight="1">
      <c r="A4" s="68"/>
    </row>
    <row r="5" spans="1:7" s="74" customFormat="1" ht="31.5">
      <c r="A5" s="73" t="s">
        <v>185</v>
      </c>
      <c r="B5" s="73" t="s">
        <v>123</v>
      </c>
      <c r="C5" s="73" t="s">
        <v>124</v>
      </c>
      <c r="D5" s="73" t="s">
        <v>125</v>
      </c>
      <c r="E5" s="73" t="s">
        <v>126</v>
      </c>
      <c r="F5" s="73" t="s">
        <v>127</v>
      </c>
      <c r="G5" s="73" t="s">
        <v>128</v>
      </c>
    </row>
    <row r="6" spans="1:7" s="98" customFormat="1" ht="26.25">
      <c r="A6" s="97" t="s">
        <v>129</v>
      </c>
      <c r="B6" s="97" t="s">
        <v>239</v>
      </c>
      <c r="C6" s="97">
        <v>18</v>
      </c>
      <c r="D6" s="97">
        <v>12</v>
      </c>
      <c r="E6" s="97" t="s">
        <v>130</v>
      </c>
      <c r="F6" s="97" t="s">
        <v>131</v>
      </c>
      <c r="G6" s="97" t="s">
        <v>132</v>
      </c>
    </row>
    <row r="7" spans="1:7" s="100" customFormat="1" ht="20.25">
      <c r="A7" s="99" t="s">
        <v>133</v>
      </c>
      <c r="B7" s="99" t="s">
        <v>240</v>
      </c>
      <c r="C7" s="99">
        <v>16</v>
      </c>
      <c r="D7" s="99">
        <v>9.5</v>
      </c>
      <c r="E7" s="99" t="s">
        <v>134</v>
      </c>
      <c r="F7" s="99" t="s">
        <v>131</v>
      </c>
      <c r="G7" s="99" t="s">
        <v>135</v>
      </c>
    </row>
    <row r="8" spans="1:7">
      <c r="A8" s="75" t="s">
        <v>136</v>
      </c>
      <c r="B8" s="76" t="s">
        <v>241</v>
      </c>
      <c r="C8" s="75">
        <v>12</v>
      </c>
      <c r="D8" s="75">
        <v>8.5</v>
      </c>
      <c r="E8" s="75" t="s">
        <v>134</v>
      </c>
      <c r="F8" s="75" t="s">
        <v>131</v>
      </c>
      <c r="G8" s="75" t="s">
        <v>137</v>
      </c>
    </row>
    <row r="9" spans="1:7" s="78" customFormat="1" ht="15">
      <c r="A9" s="77" t="s">
        <v>138</v>
      </c>
      <c r="B9" s="77" t="s">
        <v>240</v>
      </c>
      <c r="C9" s="77">
        <v>11</v>
      </c>
      <c r="D9" s="77">
        <v>8.5</v>
      </c>
      <c r="E9" s="77" t="s">
        <v>134</v>
      </c>
      <c r="F9" s="77" t="s">
        <v>131</v>
      </c>
      <c r="G9" s="77" t="s">
        <v>139</v>
      </c>
    </row>
    <row r="10" spans="1:7" s="78" customFormat="1" ht="15">
      <c r="A10" s="77" t="s">
        <v>140</v>
      </c>
      <c r="B10" s="77" t="s">
        <v>240</v>
      </c>
      <c r="C10" s="77">
        <v>11</v>
      </c>
      <c r="D10" s="77">
        <v>9.5</v>
      </c>
      <c r="E10" s="77" t="s">
        <v>134</v>
      </c>
      <c r="F10" s="77" t="s">
        <v>131</v>
      </c>
      <c r="G10" s="77" t="s">
        <v>141</v>
      </c>
    </row>
    <row r="11" spans="1:7" s="80" customFormat="1" ht="15">
      <c r="A11" s="79" t="s">
        <v>142</v>
      </c>
      <c r="B11" s="79" t="s">
        <v>239</v>
      </c>
      <c r="C11" s="79">
        <v>11</v>
      </c>
      <c r="D11" s="79">
        <v>9.5</v>
      </c>
      <c r="E11" s="79" t="s">
        <v>134</v>
      </c>
      <c r="F11" s="79" t="s">
        <v>131</v>
      </c>
      <c r="G11" s="79" t="s">
        <v>143</v>
      </c>
    </row>
    <row r="12" spans="1:7" s="78" customFormat="1" ht="15">
      <c r="A12" s="77" t="s">
        <v>144</v>
      </c>
      <c r="B12" s="77" t="s">
        <v>240</v>
      </c>
      <c r="C12" s="77">
        <v>11</v>
      </c>
      <c r="D12" s="77">
        <v>8.5</v>
      </c>
      <c r="E12" s="77" t="s">
        <v>134</v>
      </c>
      <c r="F12" s="77" t="s">
        <v>131</v>
      </c>
      <c r="G12" s="77" t="s">
        <v>145</v>
      </c>
    </row>
    <row r="13" spans="1:7" s="82" customFormat="1" ht="13.5">
      <c r="A13" s="81" t="s">
        <v>146</v>
      </c>
      <c r="B13" s="81" t="s">
        <v>240</v>
      </c>
      <c r="C13" s="81">
        <v>10</v>
      </c>
      <c r="D13" s="81">
        <v>8</v>
      </c>
      <c r="E13" s="81" t="s">
        <v>134</v>
      </c>
      <c r="F13" s="81" t="s">
        <v>131</v>
      </c>
      <c r="G13" s="81" t="s">
        <v>238</v>
      </c>
    </row>
    <row r="15" spans="1:7" ht="23.25">
      <c r="A15" s="107" t="s">
        <v>223</v>
      </c>
      <c r="B15" s="107"/>
      <c r="C15" s="107"/>
      <c r="D15" s="107"/>
      <c r="E15" s="107"/>
    </row>
    <row r="17" spans="1:11" ht="31.5">
      <c r="A17" s="73" t="s">
        <v>185</v>
      </c>
      <c r="B17" s="73" t="s">
        <v>123</v>
      </c>
      <c r="C17" s="73" t="s">
        <v>124</v>
      </c>
      <c r="D17" s="73" t="s">
        <v>125</v>
      </c>
      <c r="E17" s="73" t="s">
        <v>126</v>
      </c>
      <c r="F17" s="73" t="s">
        <v>186</v>
      </c>
      <c r="G17" s="83" t="s">
        <v>187</v>
      </c>
      <c r="H17" s="83" t="s">
        <v>188</v>
      </c>
      <c r="I17" s="83" t="s">
        <v>199</v>
      </c>
    </row>
    <row r="18" spans="1:11" s="98" customFormat="1" ht="26.25">
      <c r="A18" s="97" t="s">
        <v>129</v>
      </c>
      <c r="B18" s="97" t="s">
        <v>239</v>
      </c>
      <c r="C18" s="97">
        <v>18</v>
      </c>
      <c r="D18" s="97">
        <v>12</v>
      </c>
      <c r="E18" s="97" t="s">
        <v>130</v>
      </c>
      <c r="F18" s="97" t="s">
        <v>131</v>
      </c>
      <c r="G18" s="97" t="s">
        <v>189</v>
      </c>
      <c r="H18" s="97"/>
      <c r="I18" s="97" t="s">
        <v>200</v>
      </c>
      <c r="J18" s="97" t="s">
        <v>132</v>
      </c>
    </row>
    <row r="19" spans="1:11" s="100" customFormat="1" ht="20.25">
      <c r="A19" s="99" t="s">
        <v>133</v>
      </c>
      <c r="B19" s="99" t="s">
        <v>226</v>
      </c>
      <c r="C19" s="99">
        <v>16</v>
      </c>
      <c r="D19" s="99">
        <v>9.5</v>
      </c>
      <c r="E19" s="99" t="s">
        <v>134</v>
      </c>
      <c r="F19" s="99" t="s">
        <v>131</v>
      </c>
      <c r="G19" s="99" t="s">
        <v>189</v>
      </c>
      <c r="H19" s="99"/>
      <c r="I19" s="99" t="s">
        <v>200</v>
      </c>
      <c r="J19" s="99" t="s">
        <v>135</v>
      </c>
    </row>
    <row r="20" spans="1:11" s="80" customFormat="1" ht="15">
      <c r="A20" s="101" t="s">
        <v>184</v>
      </c>
      <c r="B20" s="101" t="s">
        <v>239</v>
      </c>
      <c r="C20" s="101">
        <v>11</v>
      </c>
      <c r="D20" s="101">
        <v>8.5</v>
      </c>
      <c r="E20" s="101" t="s">
        <v>218</v>
      </c>
      <c r="F20" s="101" t="s">
        <v>189</v>
      </c>
      <c r="G20" s="101" t="s">
        <v>195</v>
      </c>
      <c r="H20" s="101" t="s">
        <v>192</v>
      </c>
      <c r="I20" s="101" t="s">
        <v>201</v>
      </c>
      <c r="J20" s="102"/>
      <c r="K20" s="103"/>
    </row>
    <row r="21" spans="1:11" s="80" customFormat="1" ht="15">
      <c r="A21" s="104" t="s">
        <v>190</v>
      </c>
      <c r="B21" s="104" t="s">
        <v>239</v>
      </c>
      <c r="C21" s="104">
        <v>11</v>
      </c>
      <c r="D21" s="104">
        <v>8.5</v>
      </c>
      <c r="E21" s="104" t="s">
        <v>134</v>
      </c>
      <c r="F21" s="104" t="s">
        <v>189</v>
      </c>
      <c r="G21" s="104" t="s">
        <v>195</v>
      </c>
      <c r="H21" s="104" t="s">
        <v>191</v>
      </c>
      <c r="I21" s="104" t="s">
        <v>201</v>
      </c>
      <c r="J21" s="105"/>
      <c r="K21" s="106"/>
    </row>
    <row r="22" spans="1:11" s="78" customFormat="1" ht="15">
      <c r="A22" s="84" t="s">
        <v>193</v>
      </c>
      <c r="B22" s="84" t="s">
        <v>240</v>
      </c>
      <c r="C22" s="84">
        <v>11</v>
      </c>
      <c r="D22" s="84">
        <v>9.5</v>
      </c>
      <c r="E22" s="84" t="s">
        <v>134</v>
      </c>
      <c r="F22" s="84" t="s">
        <v>131</v>
      </c>
      <c r="G22" s="84" t="s">
        <v>194</v>
      </c>
      <c r="H22" s="84" t="s">
        <v>192</v>
      </c>
      <c r="I22" s="84" t="s">
        <v>202</v>
      </c>
      <c r="J22" s="77" t="s">
        <v>197</v>
      </c>
    </row>
    <row r="23" spans="1:11" s="78" customFormat="1" ht="15">
      <c r="A23" s="85" t="s">
        <v>196</v>
      </c>
      <c r="B23" s="85" t="s">
        <v>240</v>
      </c>
      <c r="C23" s="85">
        <v>11</v>
      </c>
      <c r="D23" s="85">
        <v>9.5</v>
      </c>
      <c r="E23" s="85" t="s">
        <v>134</v>
      </c>
      <c r="F23" s="85" t="s">
        <v>131</v>
      </c>
      <c r="G23" s="85" t="s">
        <v>194</v>
      </c>
      <c r="H23" s="85" t="s">
        <v>198</v>
      </c>
      <c r="I23" s="85" t="s">
        <v>202</v>
      </c>
      <c r="J23" s="77" t="s">
        <v>197</v>
      </c>
    </row>
    <row r="24" spans="1:11" s="82" customFormat="1" ht="13.5">
      <c r="A24" s="81" t="s">
        <v>146</v>
      </c>
      <c r="B24" s="81" t="s">
        <v>225</v>
      </c>
      <c r="C24" s="81">
        <v>10</v>
      </c>
      <c r="D24" s="81">
        <v>8</v>
      </c>
      <c r="E24" s="81" t="s">
        <v>134</v>
      </c>
      <c r="F24" s="81" t="s">
        <v>131</v>
      </c>
      <c r="G24" s="81" t="s">
        <v>189</v>
      </c>
      <c r="H24" s="81"/>
      <c r="I24" s="81" t="s">
        <v>202</v>
      </c>
      <c r="J24" s="81" t="s">
        <v>238</v>
      </c>
    </row>
    <row r="26" spans="1:11" ht="78.75" customHeight="1">
      <c r="A26" s="108" t="s">
        <v>219</v>
      </c>
      <c r="B26" s="108"/>
      <c r="C26" s="108"/>
      <c r="D26" s="108"/>
      <c r="E26" s="108"/>
      <c r="F26" s="108"/>
      <c r="G26" s="108"/>
      <c r="H26" s="108"/>
    </row>
    <row r="30" spans="1:11" ht="29.25">
      <c r="A30" s="86"/>
    </row>
    <row r="31" spans="1:11">
      <c r="A31" s="87"/>
    </row>
    <row r="32" spans="1:11">
      <c r="A32" s="88"/>
    </row>
    <row r="33" spans="1:5" ht="72.75" customHeight="1">
      <c r="A33" s="89"/>
      <c r="B33" s="89"/>
      <c r="C33" s="89"/>
      <c r="D33" s="89"/>
      <c r="E33" s="89"/>
    </row>
    <row r="34" spans="1:5">
      <c r="A34" s="88"/>
    </row>
    <row r="35" spans="1:5">
      <c r="A35" s="88"/>
    </row>
    <row r="36" spans="1:5">
      <c r="A36" s="87"/>
    </row>
    <row r="37" spans="1:5">
      <c r="A37" s="88"/>
    </row>
    <row r="38" spans="1:5">
      <c r="A38" s="88"/>
    </row>
    <row r="39" spans="1:5">
      <c r="A39" s="88"/>
    </row>
    <row r="40" spans="1:5">
      <c r="A40" s="87"/>
    </row>
    <row r="41" spans="1:5" ht="18.75">
      <c r="A41" s="90"/>
    </row>
    <row r="42" spans="1:5">
      <c r="A42" s="87"/>
    </row>
    <row r="43" spans="1:5">
      <c r="A43" s="87"/>
    </row>
    <row r="44" spans="1:5">
      <c r="A44" s="87"/>
    </row>
    <row r="45" spans="1:5">
      <c r="A45" s="88"/>
    </row>
    <row r="46" spans="1:5">
      <c r="A46" s="88"/>
    </row>
    <row r="47" spans="1:5">
      <c r="A47" s="88"/>
    </row>
    <row r="48" spans="1:5">
      <c r="A48" s="91"/>
    </row>
    <row r="49" spans="1:1">
      <c r="A49" s="91"/>
    </row>
    <row r="50" spans="1:1">
      <c r="A50" s="91"/>
    </row>
    <row r="51" spans="1:1">
      <c r="A51" s="92"/>
    </row>
    <row r="52" spans="1:1">
      <c r="A52" s="91"/>
    </row>
    <row r="53" spans="1:1">
      <c r="A53" s="93"/>
    </row>
    <row r="54" spans="1:1" ht="18">
      <c r="A54" s="94"/>
    </row>
    <row r="55" spans="1:1">
      <c r="A55" s="92"/>
    </row>
    <row r="56" spans="1:1">
      <c r="A56" s="91"/>
    </row>
    <row r="57" spans="1:1">
      <c r="A57" s="91"/>
    </row>
    <row r="58" spans="1:1">
      <c r="A58" s="93"/>
    </row>
    <row r="59" spans="1:1">
      <c r="A59" s="91"/>
    </row>
    <row r="60" spans="1:1">
      <c r="A60" s="93"/>
    </row>
    <row r="61" spans="1:1">
      <c r="A61" s="91"/>
    </row>
    <row r="62" spans="1:1">
      <c r="A62" s="93"/>
    </row>
    <row r="63" spans="1:1">
      <c r="A63" s="91"/>
    </row>
    <row r="64" spans="1:1">
      <c r="A64" s="91"/>
    </row>
    <row r="65" spans="1:1">
      <c r="A65" s="92"/>
    </row>
    <row r="66" spans="1:1">
      <c r="A66" s="93"/>
    </row>
    <row r="67" spans="1:1">
      <c r="A67" s="93"/>
    </row>
    <row r="68" spans="1:1">
      <c r="A68" s="91"/>
    </row>
    <row r="69" spans="1:1" ht="18">
      <c r="A69" s="94"/>
    </row>
    <row r="70" spans="1:1">
      <c r="A70" s="92"/>
    </row>
    <row r="71" spans="1:1">
      <c r="A71" s="91"/>
    </row>
    <row r="72" spans="1:1">
      <c r="A72" s="91"/>
    </row>
    <row r="73" spans="1:1">
      <c r="A73" s="93"/>
    </row>
    <row r="74" spans="1:1">
      <c r="A74" s="91"/>
    </row>
    <row r="75" spans="1:1">
      <c r="A75" s="91"/>
    </row>
    <row r="76" spans="1:1">
      <c r="A76" s="91"/>
    </row>
    <row r="77" spans="1:1">
      <c r="A77" s="91"/>
    </row>
    <row r="78" spans="1:1">
      <c r="A78" s="93"/>
    </row>
    <row r="79" spans="1:1">
      <c r="A79" s="92"/>
    </row>
    <row r="80" spans="1:1">
      <c r="A80" s="93"/>
    </row>
    <row r="81" spans="1:1">
      <c r="A81" s="93"/>
    </row>
    <row r="82" spans="1:1">
      <c r="A82" s="91"/>
    </row>
    <row r="83" spans="1:1">
      <c r="A83" s="91"/>
    </row>
    <row r="84" spans="1:1" ht="18">
      <c r="A84" s="94"/>
    </row>
    <row r="85" spans="1:1">
      <c r="A85" s="92"/>
    </row>
    <row r="86" spans="1:1">
      <c r="A86" s="91"/>
    </row>
    <row r="87" spans="1:1">
      <c r="A87" s="91"/>
    </row>
    <row r="88" spans="1:1">
      <c r="A88" s="93"/>
    </row>
    <row r="89" spans="1:1">
      <c r="A89" s="91"/>
    </row>
    <row r="90" spans="1:1">
      <c r="A90" s="93"/>
    </row>
    <row r="91" spans="1:1">
      <c r="A91" s="91"/>
    </row>
    <row r="92" spans="1:1">
      <c r="A92" s="93"/>
    </row>
    <row r="93" spans="1:1">
      <c r="A93" s="91"/>
    </row>
    <row r="94" spans="1:1">
      <c r="A94" s="91"/>
    </row>
    <row r="95" spans="1:1">
      <c r="A95" s="91"/>
    </row>
    <row r="96" spans="1:1">
      <c r="A96" s="91"/>
    </row>
    <row r="97" spans="1:1">
      <c r="A97" s="93"/>
    </row>
    <row r="98" spans="1:1">
      <c r="A98" s="91"/>
    </row>
    <row r="99" spans="1:1">
      <c r="A99" s="91"/>
    </row>
    <row r="100" spans="1:1">
      <c r="A100" s="91"/>
    </row>
    <row r="101" spans="1:1">
      <c r="A101" s="92"/>
    </row>
    <row r="102" spans="1:1">
      <c r="A102" s="93"/>
    </row>
    <row r="103" spans="1:1">
      <c r="A103" s="93"/>
    </row>
    <row r="104" spans="1:1">
      <c r="A104" s="91"/>
    </row>
    <row r="105" spans="1:1">
      <c r="A105" s="91"/>
    </row>
    <row r="106" spans="1:1">
      <c r="A106" s="91"/>
    </row>
    <row r="107" spans="1:1" ht="18">
      <c r="A107" s="94"/>
    </row>
    <row r="108" spans="1:1">
      <c r="A108" s="92"/>
    </row>
    <row r="109" spans="1:1">
      <c r="A109" s="91"/>
    </row>
    <row r="110" spans="1:1">
      <c r="A110" s="91"/>
    </row>
    <row r="111" spans="1:1">
      <c r="A111" s="93"/>
    </row>
    <row r="112" spans="1:1">
      <c r="A112" s="91"/>
    </row>
    <row r="113" spans="1:1">
      <c r="A113" s="93"/>
    </row>
    <row r="114" spans="1:1">
      <c r="A114" s="91"/>
    </row>
    <row r="115" spans="1:1">
      <c r="A115" s="91"/>
    </row>
    <row r="116" spans="1:1">
      <c r="A116" s="93"/>
    </row>
    <row r="117" spans="1:1">
      <c r="A117" s="91"/>
    </row>
    <row r="118" spans="1:1">
      <c r="A118" s="91"/>
    </row>
    <row r="119" spans="1:1">
      <c r="A119" s="91"/>
    </row>
    <row r="120" spans="1:1">
      <c r="A120" s="93"/>
    </row>
    <row r="121" spans="1:1">
      <c r="A121" s="92"/>
    </row>
    <row r="122" spans="1:1">
      <c r="A122" s="93"/>
    </row>
    <row r="123" spans="1:1">
      <c r="A123" s="93"/>
    </row>
    <row r="124" spans="1:1">
      <c r="A124" s="93"/>
    </row>
    <row r="125" spans="1:1">
      <c r="A125" s="91"/>
    </row>
    <row r="126" spans="1:1">
      <c r="A126" s="91"/>
    </row>
    <row r="127" spans="1:1">
      <c r="A127" s="91"/>
    </row>
    <row r="128" spans="1:1">
      <c r="A128" s="95"/>
    </row>
    <row r="129" spans="1:1">
      <c r="A129" s="96"/>
    </row>
  </sheetData>
  <mergeCells count="5">
    <mergeCell ref="A1:E1"/>
    <mergeCell ref="A3:E3"/>
    <mergeCell ref="A15:E15"/>
    <mergeCell ref="A33:E33"/>
    <mergeCell ref="A26:H26"/>
  </mergeCells>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O34"/>
  <sheetViews>
    <sheetView showGridLines="0" topLeftCell="A16" workbookViewId="0">
      <selection activeCell="S23" sqref="S23"/>
    </sheetView>
  </sheetViews>
  <sheetFormatPr defaultRowHeight="15"/>
  <cols>
    <col min="1" max="1" width="1.375" style="57" customWidth="1"/>
    <col min="2" max="2" width="6" style="57" customWidth="1"/>
    <col min="3" max="11" width="9" style="57"/>
    <col min="12" max="12" width="4.875" style="57" customWidth="1"/>
    <col min="13" max="13" width="1.375" style="57" customWidth="1"/>
    <col min="14" max="14" width="3.75" style="57" customWidth="1"/>
    <col min="15" max="16384" width="9" style="57"/>
  </cols>
  <sheetData>
    <row r="1" spans="2:7" ht="6" customHeight="1"/>
    <row r="7" spans="2:7" s="111" customFormat="1" ht="18" customHeight="1">
      <c r="B7" s="110" t="s">
        <v>205</v>
      </c>
      <c r="C7" s="110"/>
      <c r="D7" s="110"/>
      <c r="E7" s="110"/>
      <c r="F7" s="110"/>
      <c r="G7" s="110"/>
    </row>
    <row r="8" spans="2:7" s="111" customFormat="1" ht="4.5" customHeight="1">
      <c r="C8" s="112"/>
      <c r="D8" s="113"/>
      <c r="E8" s="114"/>
      <c r="F8" s="115"/>
    </row>
    <row r="9" spans="2:7" s="111" customFormat="1">
      <c r="B9" s="116" t="s">
        <v>206</v>
      </c>
      <c r="C9" s="117"/>
      <c r="D9" s="118"/>
      <c r="E9" s="119"/>
      <c r="F9" s="120"/>
      <c r="G9" s="121"/>
    </row>
    <row r="10" spans="2:7" s="111" customFormat="1">
      <c r="B10" s="116" t="s">
        <v>224</v>
      </c>
      <c r="C10" s="116"/>
    </row>
    <row r="16" spans="2:7" ht="15" customHeight="1"/>
    <row r="17" spans="13:15">
      <c r="O17" s="122"/>
    </row>
    <row r="18" spans="13:15" ht="8.25" customHeight="1">
      <c r="M18" s="58"/>
      <c r="O18" s="123" t="s">
        <v>243</v>
      </c>
    </row>
    <row r="19" spans="13:15">
      <c r="M19" s="58"/>
    </row>
    <row r="20" spans="13:15">
      <c r="M20" s="58"/>
    </row>
    <row r="21" spans="13:15">
      <c r="M21" s="58"/>
    </row>
    <row r="22" spans="13:15">
      <c r="M22" s="58"/>
    </row>
    <row r="23" spans="13:15">
      <c r="M23" s="58"/>
    </row>
    <row r="24" spans="13:15">
      <c r="M24" s="58"/>
    </row>
    <row r="25" spans="13:15">
      <c r="M25" s="58"/>
    </row>
    <row r="26" spans="13:15">
      <c r="M26" s="58"/>
    </row>
    <row r="27" spans="13:15">
      <c r="M27" s="58"/>
    </row>
    <row r="28" spans="13:15">
      <c r="M28" s="58"/>
    </row>
    <row r="29" spans="13:15">
      <c r="M29" s="58"/>
    </row>
    <row r="32" spans="13:15" ht="36.75" customHeight="1"/>
    <row r="33" spans="2:12" ht="45.75" customHeight="1">
      <c r="B33" s="109" t="s">
        <v>242</v>
      </c>
      <c r="C33" s="109"/>
      <c r="D33" s="109"/>
      <c r="E33" s="109"/>
      <c r="F33" s="109"/>
      <c r="G33" s="109"/>
      <c r="H33" s="109"/>
      <c r="I33" s="109"/>
      <c r="J33" s="109"/>
      <c r="K33" s="109"/>
      <c r="L33" s="109"/>
    </row>
    <row r="34" spans="2:12" ht="3.75" customHeight="1"/>
  </sheetData>
  <mergeCells count="2">
    <mergeCell ref="B7:G7"/>
    <mergeCell ref="B33:L3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L11:U17"/>
  <sheetViews>
    <sheetView showGridLines="0" zoomScale="86" zoomScaleNormal="86" workbookViewId="0">
      <selection activeCell="Q19" sqref="Q19"/>
    </sheetView>
  </sheetViews>
  <sheetFormatPr defaultRowHeight="15.75"/>
  <cols>
    <col min="1" max="9" width="9" style="124"/>
    <col min="10" max="10" width="11.5" style="124" customWidth="1"/>
    <col min="11" max="11" width="9" style="124" customWidth="1"/>
    <col min="12" max="13" width="9" style="124"/>
    <col min="14" max="14" width="2.5" style="124" customWidth="1"/>
    <col min="15" max="16384" width="9" style="124"/>
  </cols>
  <sheetData>
    <row r="11" spans="12:21">
      <c r="L11" s="124" t="s">
        <v>207</v>
      </c>
    </row>
    <row r="13" spans="12:21">
      <c r="L13" s="124" t="s">
        <v>208</v>
      </c>
      <c r="P13" s="111"/>
      <c r="Q13" s="111"/>
      <c r="R13" s="111"/>
      <c r="S13" s="111"/>
      <c r="T13" s="111"/>
      <c r="U13" s="111"/>
    </row>
    <row r="15" spans="12:21">
      <c r="L15" s="124" t="s">
        <v>203</v>
      </c>
    </row>
    <row r="17" spans="12:12">
      <c r="L17" s="124" t="s">
        <v>204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27"/>
  <sheetViews>
    <sheetView showGridLines="0" zoomScale="98" zoomScaleNormal="98" workbookViewId="0">
      <selection activeCell="F23" sqref="F23"/>
    </sheetView>
  </sheetViews>
  <sheetFormatPr defaultRowHeight="15"/>
  <cols>
    <col min="1" max="1" width="9" style="56"/>
    <col min="2" max="2" width="47.25" style="56" customWidth="1"/>
    <col min="3" max="5" width="17.875" style="56" customWidth="1"/>
    <col min="6" max="16384" width="9" style="56"/>
  </cols>
  <sheetData>
    <row r="1" spans="1:5">
      <c r="A1" s="136" t="s">
        <v>246</v>
      </c>
    </row>
    <row r="4" spans="1:5" ht="24.75" customHeight="1"/>
    <row r="5" spans="1:5" ht="22.5" customHeight="1">
      <c r="B5" s="125" t="s">
        <v>175</v>
      </c>
      <c r="C5" s="126" t="s">
        <v>176</v>
      </c>
      <c r="D5" s="126" t="s">
        <v>177</v>
      </c>
      <c r="E5" s="126" t="s">
        <v>79</v>
      </c>
    </row>
    <row r="6" spans="1:5" ht="18.75" customHeight="1">
      <c r="B6" s="127" t="s">
        <v>178</v>
      </c>
      <c r="C6" s="128">
        <v>620814</v>
      </c>
      <c r="D6" s="128">
        <v>105402</v>
      </c>
      <c r="E6" s="129">
        <f t="shared" ref="E6:E11" si="0">SUM(C6:D6)</f>
        <v>726216</v>
      </c>
    </row>
    <row r="7" spans="1:5" ht="18.75" customHeight="1">
      <c r="B7" s="130" t="s">
        <v>179</v>
      </c>
      <c r="C7" s="131">
        <v>20694</v>
      </c>
      <c r="D7" s="131">
        <v>391</v>
      </c>
      <c r="E7" s="131">
        <f t="shared" si="0"/>
        <v>21085</v>
      </c>
    </row>
    <row r="8" spans="1:5" ht="18.75" customHeight="1">
      <c r="B8" s="130" t="s">
        <v>180</v>
      </c>
      <c r="C8" s="131">
        <v>4169</v>
      </c>
      <c r="D8" s="131">
        <v>729</v>
      </c>
      <c r="E8" s="131">
        <f t="shared" si="0"/>
        <v>4898</v>
      </c>
    </row>
    <row r="9" spans="1:5" ht="18.75" customHeight="1">
      <c r="B9" s="130" t="s">
        <v>181</v>
      </c>
      <c r="C9" s="131">
        <v>98114</v>
      </c>
      <c r="D9" s="131">
        <v>4706</v>
      </c>
      <c r="E9" s="131">
        <f t="shared" si="0"/>
        <v>102820</v>
      </c>
    </row>
    <row r="10" spans="1:5" ht="18.75" customHeight="1">
      <c r="B10" s="130" t="s">
        <v>182</v>
      </c>
      <c r="C10" s="131">
        <v>743793</v>
      </c>
      <c r="D10" s="131">
        <v>111228</v>
      </c>
      <c r="E10" s="131">
        <f t="shared" si="0"/>
        <v>855021</v>
      </c>
    </row>
    <row r="11" spans="1:5" ht="18.75" customHeight="1">
      <c r="B11" s="132" t="s">
        <v>183</v>
      </c>
      <c r="C11" s="133">
        <v>2673985</v>
      </c>
      <c r="D11" s="133">
        <v>90445</v>
      </c>
      <c r="E11" s="133">
        <f t="shared" si="0"/>
        <v>2764430</v>
      </c>
    </row>
    <row r="12" spans="1:5" ht="39" customHeight="1">
      <c r="B12" s="134" t="s">
        <v>244</v>
      </c>
      <c r="C12" s="135"/>
      <c r="D12" s="135"/>
      <c r="E12" s="135"/>
    </row>
    <row r="13" spans="1:5">
      <c r="B13" s="59"/>
    </row>
    <row r="15" spans="1:5">
      <c r="A15" s="136" t="s">
        <v>245</v>
      </c>
    </row>
    <row r="20" spans="2:5" ht="22.5" customHeight="1">
      <c r="B20" s="137" t="s">
        <v>175</v>
      </c>
      <c r="C20" s="138" t="s">
        <v>176</v>
      </c>
      <c r="D20" s="138" t="s">
        <v>177</v>
      </c>
      <c r="E20" s="138" t="s">
        <v>79</v>
      </c>
    </row>
    <row r="21" spans="2:5" ht="22.5" customHeight="1">
      <c r="B21" s="139" t="s">
        <v>178</v>
      </c>
      <c r="C21" s="140">
        <v>620814</v>
      </c>
      <c r="D21" s="140">
        <v>105402</v>
      </c>
      <c r="E21" s="141">
        <v>726216</v>
      </c>
    </row>
    <row r="22" spans="2:5" ht="22.5" customHeight="1">
      <c r="B22" s="142" t="s">
        <v>247</v>
      </c>
      <c r="C22" s="140">
        <v>20694</v>
      </c>
      <c r="D22" s="140">
        <v>391</v>
      </c>
      <c r="E22" s="140">
        <v>21085</v>
      </c>
    </row>
    <row r="23" spans="2:5" ht="22.5" customHeight="1">
      <c r="B23" s="139" t="s">
        <v>180</v>
      </c>
      <c r="C23" s="140">
        <v>4169</v>
      </c>
      <c r="D23" s="140">
        <v>729</v>
      </c>
      <c r="E23" s="140">
        <v>4898</v>
      </c>
    </row>
    <row r="24" spans="2:5" ht="22.5" customHeight="1">
      <c r="B24" s="142" t="s">
        <v>248</v>
      </c>
      <c r="C24" s="140">
        <v>98114</v>
      </c>
      <c r="D24" s="140">
        <v>4706</v>
      </c>
      <c r="E24" s="140">
        <v>102820</v>
      </c>
    </row>
    <row r="25" spans="2:5" ht="22.5" customHeight="1">
      <c r="B25" s="139" t="s">
        <v>182</v>
      </c>
      <c r="C25" s="140">
        <v>743793</v>
      </c>
      <c r="D25" s="140">
        <v>111228</v>
      </c>
      <c r="E25" s="140">
        <v>855021</v>
      </c>
    </row>
    <row r="26" spans="2:5" ht="22.5" customHeight="1">
      <c r="B26" s="139" t="s">
        <v>183</v>
      </c>
      <c r="C26" s="140">
        <v>2673985</v>
      </c>
      <c r="D26" s="140">
        <v>90445</v>
      </c>
      <c r="E26" s="140">
        <v>2764430</v>
      </c>
    </row>
    <row r="27" spans="2:5" ht="41.25" customHeight="1">
      <c r="B27" s="143" t="s">
        <v>249</v>
      </c>
      <c r="C27" s="143"/>
      <c r="D27" s="143"/>
      <c r="E27" s="143"/>
    </row>
  </sheetData>
  <mergeCells count="2">
    <mergeCell ref="B12:E12"/>
    <mergeCell ref="B27:E2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3:I40"/>
  <sheetViews>
    <sheetView zoomScale="66" zoomScaleNormal="66" workbookViewId="0">
      <selection activeCell="V37" sqref="V37"/>
    </sheetView>
  </sheetViews>
  <sheetFormatPr defaultColWidth="10.125" defaultRowHeight="12.75"/>
  <cols>
    <col min="1" max="1" width="10.125" style="36"/>
    <col min="2" max="2" width="21.375" style="36" customWidth="1"/>
    <col min="3" max="3" width="8.5" style="36" customWidth="1"/>
    <col min="4" max="16384" width="10.125" style="36"/>
  </cols>
  <sheetData>
    <row r="3" spans="2:4">
      <c r="B3" s="36">
        <v>2011</v>
      </c>
    </row>
    <row r="4" spans="2:4">
      <c r="B4" s="36" t="s">
        <v>121</v>
      </c>
      <c r="C4" s="36" t="s">
        <v>122</v>
      </c>
    </row>
    <row r="5" spans="2:4">
      <c r="B5" s="36" t="s">
        <v>147</v>
      </c>
      <c r="C5" s="37">
        <v>1.9</v>
      </c>
      <c r="D5" s="38">
        <f>C5/100</f>
        <v>1.9E-2</v>
      </c>
    </row>
    <row r="6" spans="2:4">
      <c r="B6" s="36" t="s">
        <v>148</v>
      </c>
      <c r="C6" s="37">
        <v>7</v>
      </c>
      <c r="D6" s="38">
        <f t="shared" ref="D6:D14" si="0">C6/100</f>
        <v>7.0000000000000007E-2</v>
      </c>
    </row>
    <row r="7" spans="2:4">
      <c r="B7" s="39" t="s">
        <v>149</v>
      </c>
      <c r="C7" s="37">
        <v>11.2</v>
      </c>
      <c r="D7" s="38">
        <f t="shared" si="0"/>
        <v>0.11199999999999999</v>
      </c>
    </row>
    <row r="8" spans="2:4">
      <c r="B8" s="36" t="s">
        <v>150</v>
      </c>
      <c r="C8" s="37">
        <v>15.2</v>
      </c>
      <c r="D8" s="38">
        <f t="shared" si="0"/>
        <v>0.152</v>
      </c>
    </row>
    <row r="9" spans="2:4">
      <c r="B9" s="36" t="s">
        <v>114</v>
      </c>
      <c r="C9" s="37">
        <v>23.4</v>
      </c>
      <c r="D9" s="38">
        <f t="shared" si="0"/>
        <v>0.23399999999999999</v>
      </c>
    </row>
    <row r="10" spans="2:4">
      <c r="B10" s="36" t="s">
        <v>115</v>
      </c>
      <c r="C10" s="36">
        <v>29</v>
      </c>
      <c r="D10" s="38">
        <f>C10/100</f>
        <v>0.28999999999999998</v>
      </c>
    </row>
    <row r="11" spans="2:4">
      <c r="D11" s="38"/>
    </row>
    <row r="12" spans="2:4">
      <c r="B12" s="36" t="s">
        <v>116</v>
      </c>
      <c r="C12" s="36">
        <v>18.600000000000001</v>
      </c>
      <c r="D12" s="38">
        <f t="shared" si="0"/>
        <v>0.18600000000000003</v>
      </c>
    </row>
    <row r="13" spans="2:4">
      <c r="B13" s="36" t="s">
        <v>117</v>
      </c>
      <c r="C13" s="36">
        <v>21.1</v>
      </c>
      <c r="D13" s="38">
        <f t="shared" si="0"/>
        <v>0.21100000000000002</v>
      </c>
    </row>
    <row r="14" spans="2:4">
      <c r="B14" s="36" t="s">
        <v>118</v>
      </c>
      <c r="C14" s="36">
        <v>24.3</v>
      </c>
      <c r="D14" s="38">
        <f t="shared" si="0"/>
        <v>0.24299999999999999</v>
      </c>
    </row>
    <row r="17" spans="2:4">
      <c r="B17" s="36">
        <v>1997</v>
      </c>
    </row>
    <row r="18" spans="2:4">
      <c r="B18" s="36" t="s">
        <v>151</v>
      </c>
      <c r="C18" s="37">
        <v>33.799999999999997</v>
      </c>
      <c r="D18" s="38">
        <f t="shared" ref="D18:D28" si="1">C18/100</f>
        <v>0.33799999999999997</v>
      </c>
    </row>
    <row r="19" spans="2:4">
      <c r="B19" s="36" t="s">
        <v>152</v>
      </c>
      <c r="C19" s="37">
        <v>20.5</v>
      </c>
      <c r="D19" s="38">
        <f t="shared" si="1"/>
        <v>0.20499999999999999</v>
      </c>
    </row>
    <row r="20" spans="2:4">
      <c r="B20" s="36" t="s">
        <v>153</v>
      </c>
      <c r="C20" s="37">
        <v>21.5</v>
      </c>
      <c r="D20" s="38">
        <f t="shared" si="1"/>
        <v>0.215</v>
      </c>
    </row>
    <row r="21" spans="2:4">
      <c r="B21" s="36" t="s">
        <v>154</v>
      </c>
      <c r="C21" s="37">
        <v>22.6</v>
      </c>
      <c r="D21" s="38">
        <f t="shared" si="1"/>
        <v>0.22600000000000001</v>
      </c>
    </row>
    <row r="22" spans="2:4">
      <c r="B22" s="36" t="s">
        <v>155</v>
      </c>
      <c r="C22" s="37">
        <v>23.2</v>
      </c>
      <c r="D22" s="38">
        <f t="shared" si="1"/>
        <v>0.23199999999999998</v>
      </c>
    </row>
    <row r="23" spans="2:4">
      <c r="B23" s="36" t="s">
        <v>156</v>
      </c>
      <c r="C23" s="37">
        <v>23</v>
      </c>
      <c r="D23" s="38">
        <f t="shared" si="1"/>
        <v>0.23</v>
      </c>
    </row>
    <row r="24" spans="2:4">
      <c r="B24" s="36" t="s">
        <v>157</v>
      </c>
      <c r="C24" s="37">
        <v>22.4</v>
      </c>
      <c r="D24" s="38">
        <f t="shared" si="1"/>
        <v>0.22399999999999998</v>
      </c>
    </row>
    <row r="25" spans="2:4">
      <c r="B25" s="36" t="s">
        <v>158</v>
      </c>
      <c r="C25" s="37">
        <v>22.2</v>
      </c>
      <c r="D25" s="38">
        <f t="shared" si="1"/>
        <v>0.222</v>
      </c>
    </row>
    <row r="26" spans="2:4">
      <c r="B26" s="36" t="s">
        <v>159</v>
      </c>
      <c r="C26" s="37">
        <v>21.5</v>
      </c>
      <c r="D26" s="38">
        <f t="shared" si="1"/>
        <v>0.215</v>
      </c>
    </row>
    <row r="27" spans="2:4">
      <c r="B27" s="36" t="s">
        <v>160</v>
      </c>
      <c r="C27" s="37">
        <v>20</v>
      </c>
      <c r="D27" s="38">
        <f t="shared" si="1"/>
        <v>0.2</v>
      </c>
    </row>
    <row r="28" spans="2:4">
      <c r="B28" s="36" t="s">
        <v>119</v>
      </c>
      <c r="C28" s="37">
        <v>15.6</v>
      </c>
      <c r="D28" s="38">
        <f t="shared" si="1"/>
        <v>0.156</v>
      </c>
    </row>
    <row r="34" spans="2:9">
      <c r="B34" s="36">
        <v>1997</v>
      </c>
    </row>
    <row r="35" spans="2:9">
      <c r="B35" s="36" t="s">
        <v>153</v>
      </c>
      <c r="C35" s="37">
        <v>21.5</v>
      </c>
      <c r="D35" s="38">
        <f t="shared" ref="D35:D40" si="2">C35/100</f>
        <v>0.215</v>
      </c>
    </row>
    <row r="36" spans="2:9">
      <c r="B36" s="36" t="s">
        <v>155</v>
      </c>
      <c r="C36" s="37">
        <v>23.2</v>
      </c>
      <c r="D36" s="38">
        <f t="shared" si="2"/>
        <v>0.23199999999999998</v>
      </c>
    </row>
    <row r="37" spans="2:9">
      <c r="B37" s="36" t="s">
        <v>156</v>
      </c>
      <c r="C37" s="37">
        <v>23</v>
      </c>
      <c r="D37" s="38">
        <f t="shared" si="2"/>
        <v>0.23</v>
      </c>
    </row>
    <row r="38" spans="2:9">
      <c r="B38" s="36" t="s">
        <v>158</v>
      </c>
      <c r="C38" s="37">
        <v>22.2</v>
      </c>
      <c r="D38" s="38">
        <f t="shared" si="2"/>
        <v>0.222</v>
      </c>
      <c r="F38" s="144"/>
      <c r="G38" s="144"/>
      <c r="H38" s="144"/>
      <c r="I38" s="144"/>
    </row>
    <row r="39" spans="2:9">
      <c r="B39" s="36" t="s">
        <v>159</v>
      </c>
      <c r="C39" s="37">
        <v>21.5</v>
      </c>
      <c r="D39" s="38">
        <f t="shared" si="2"/>
        <v>0.215</v>
      </c>
    </row>
    <row r="40" spans="2:9">
      <c r="B40" s="36" t="s">
        <v>120</v>
      </c>
      <c r="C40" s="37">
        <v>15.6</v>
      </c>
      <c r="D40" s="38">
        <f t="shared" si="2"/>
        <v>0.156</v>
      </c>
    </row>
  </sheetData>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O24"/>
  <sheetViews>
    <sheetView showGridLines="0" zoomScale="98" zoomScaleNormal="98" zoomScalePageLayoutView="125" workbookViewId="0">
      <selection activeCell="AR12" sqref="AR12"/>
    </sheetView>
  </sheetViews>
  <sheetFormatPr defaultColWidth="7" defaultRowHeight="12.75"/>
  <cols>
    <col min="1" max="1" width="13.625" style="146" customWidth="1"/>
    <col min="2" max="2" width="3.5" style="146" customWidth="1"/>
    <col min="3" max="3" width="1.5" style="146" customWidth="1"/>
    <col min="4" max="4" width="9.375" style="146" customWidth="1"/>
    <col min="5" max="5" width="2.875" style="146" customWidth="1"/>
    <col min="6" max="6" width="1.5" style="146" customWidth="1"/>
    <col min="7" max="7" width="9.5" style="146" customWidth="1"/>
    <col min="8" max="8" width="2.875" style="146" customWidth="1"/>
    <col min="9" max="9" width="1.5" style="146" customWidth="1"/>
    <col min="10" max="10" width="9.375" style="146" customWidth="1"/>
    <col min="11" max="11" width="2.875" style="146" customWidth="1"/>
    <col min="12" max="12" width="1.5" style="146" customWidth="1"/>
    <col min="13" max="13" width="7.5" style="146" customWidth="1"/>
    <col min="14" max="14" width="2.875" style="146" customWidth="1"/>
    <col min="15" max="15" width="1.5" style="146" customWidth="1"/>
    <col min="16" max="16" width="8.5" style="146" customWidth="1"/>
    <col min="17" max="17" width="2.875" style="146" customWidth="1"/>
    <col min="18" max="18" width="1.5" style="146" customWidth="1"/>
    <col min="19" max="19" width="8.5" style="146" customWidth="1"/>
    <col min="20" max="22" width="7" style="146"/>
    <col min="23" max="24" width="3.625" style="146" customWidth="1"/>
    <col min="25" max="25" width="7.125" style="146" bestFit="1" customWidth="1"/>
    <col min="26" max="26" width="7" style="146"/>
    <col min="27" max="27" width="3.625" style="146" customWidth="1"/>
    <col min="28" max="28" width="7.125" style="146" bestFit="1" customWidth="1"/>
    <col min="29" max="29" width="7" style="146"/>
    <col min="30" max="30" width="3.625" style="146" customWidth="1"/>
    <col min="31" max="31" width="7.875" style="146" bestFit="1" customWidth="1"/>
    <col min="32" max="32" width="7" style="146"/>
    <col min="33" max="33" width="3.625" style="146" customWidth="1"/>
    <col min="34" max="34" width="7.125" style="146" bestFit="1" customWidth="1"/>
    <col min="35" max="35" width="7" style="146"/>
    <col min="36" max="36" width="3.625" style="146" customWidth="1"/>
    <col min="37" max="37" width="7.125" style="146" bestFit="1" customWidth="1"/>
    <col min="38" max="38" width="7" style="146"/>
    <col min="39" max="39" width="3.625" style="146" customWidth="1"/>
    <col min="40" max="40" width="9.5" style="146" customWidth="1"/>
    <col min="41" max="16384" width="7" style="146"/>
  </cols>
  <sheetData>
    <row r="1" spans="1:41" ht="15.75">
      <c r="A1" s="145" t="s">
        <v>41</v>
      </c>
      <c r="B1" s="145"/>
      <c r="C1" s="145"/>
      <c r="D1" s="145"/>
      <c r="E1" s="145"/>
      <c r="F1" s="145"/>
      <c r="G1" s="145"/>
      <c r="H1" s="145"/>
      <c r="I1" s="145"/>
      <c r="J1" s="145"/>
      <c r="K1" s="145"/>
      <c r="L1" s="145"/>
      <c r="M1" s="145"/>
      <c r="N1" s="145"/>
      <c r="O1" s="145"/>
      <c r="P1" s="145"/>
      <c r="Q1" s="145"/>
      <c r="R1" s="145"/>
      <c r="S1" s="145"/>
      <c r="V1" s="145" t="s">
        <v>42</v>
      </c>
      <c r="W1" s="145"/>
      <c r="X1" s="145"/>
      <c r="Y1" s="145"/>
      <c r="Z1" s="145"/>
      <c r="AA1" s="145"/>
      <c r="AB1" s="145"/>
      <c r="AC1" s="145"/>
      <c r="AD1" s="145"/>
      <c r="AE1" s="145"/>
      <c r="AF1" s="145"/>
      <c r="AG1" s="145"/>
      <c r="AH1" s="145"/>
      <c r="AI1" s="145"/>
      <c r="AJ1" s="145"/>
      <c r="AK1" s="145"/>
      <c r="AL1" s="145"/>
      <c r="AM1" s="145"/>
      <c r="AN1" s="145"/>
      <c r="AO1" s="174"/>
    </row>
    <row r="2" spans="1:41" ht="15.75" customHeight="1" thickBot="1">
      <c r="A2" s="145" t="s">
        <v>42</v>
      </c>
      <c r="B2" s="145"/>
      <c r="C2" s="145"/>
      <c r="D2" s="145"/>
      <c r="E2" s="145"/>
      <c r="F2" s="145"/>
      <c r="G2" s="145"/>
      <c r="H2" s="145"/>
      <c r="I2" s="145"/>
      <c r="J2" s="145"/>
      <c r="K2" s="145"/>
      <c r="L2" s="145"/>
      <c r="M2" s="145"/>
      <c r="N2" s="145"/>
      <c r="O2" s="145"/>
      <c r="P2" s="145"/>
      <c r="Q2" s="145"/>
      <c r="R2" s="145"/>
      <c r="S2" s="145"/>
      <c r="U2" s="147"/>
      <c r="V2" s="147"/>
      <c r="W2" s="147"/>
      <c r="X2" s="147"/>
      <c r="Y2" s="147"/>
      <c r="Z2" s="147"/>
      <c r="AA2" s="147"/>
      <c r="AB2" s="147"/>
      <c r="AC2" s="147"/>
      <c r="AD2" s="147"/>
      <c r="AE2" s="147"/>
      <c r="AF2" s="147"/>
      <c r="AG2" s="147"/>
      <c r="AH2" s="147"/>
      <c r="AI2" s="147"/>
      <c r="AJ2" s="147"/>
      <c r="AK2" s="147"/>
      <c r="AL2" s="147"/>
      <c r="AM2" s="147"/>
      <c r="AN2" s="147"/>
      <c r="AO2" s="147"/>
    </row>
    <row r="3" spans="1:41" ht="15" thickTop="1" thickBot="1">
      <c r="A3" s="147"/>
      <c r="B3" s="147"/>
      <c r="C3" s="147"/>
      <c r="D3" s="147"/>
      <c r="E3" s="147"/>
      <c r="F3" s="147"/>
      <c r="G3" s="147"/>
      <c r="H3" s="147"/>
      <c r="I3" s="147"/>
      <c r="J3" s="147"/>
      <c r="K3" s="147"/>
      <c r="L3" s="147"/>
      <c r="M3" s="147"/>
      <c r="N3" s="147"/>
      <c r="O3" s="147"/>
      <c r="P3" s="147"/>
      <c r="Q3" s="147"/>
      <c r="R3" s="147"/>
      <c r="S3" s="147"/>
      <c r="U3" s="148"/>
      <c r="V3" s="148" t="s">
        <v>210</v>
      </c>
      <c r="W3" s="148"/>
      <c r="X3" s="149"/>
      <c r="Y3" s="148" t="s">
        <v>211</v>
      </c>
      <c r="Z3" s="148"/>
      <c r="AA3" s="150"/>
      <c r="AB3" s="148" t="s">
        <v>212</v>
      </c>
      <c r="AC3" s="148"/>
      <c r="AD3" s="149"/>
      <c r="AE3" s="148" t="s">
        <v>46</v>
      </c>
      <c r="AF3" s="151"/>
      <c r="AG3" s="151"/>
      <c r="AH3" s="151"/>
      <c r="AI3" s="151"/>
      <c r="AJ3" s="152"/>
      <c r="AK3" s="148" t="s">
        <v>47</v>
      </c>
      <c r="AL3" s="153"/>
      <c r="AM3" s="153"/>
      <c r="AN3" s="153"/>
      <c r="AO3" s="148"/>
    </row>
    <row r="4" spans="1:41" ht="13.5" customHeight="1" thickTop="1">
      <c r="A4" s="148" t="s">
        <v>43</v>
      </c>
      <c r="B4" s="148"/>
      <c r="C4" s="149"/>
      <c r="D4" s="148" t="s">
        <v>44</v>
      </c>
      <c r="E4" s="148"/>
      <c r="F4" s="150"/>
      <c r="G4" s="148" t="s">
        <v>45</v>
      </c>
      <c r="H4" s="148"/>
      <c r="I4" s="149"/>
      <c r="J4" s="148" t="s">
        <v>46</v>
      </c>
      <c r="K4" s="151"/>
      <c r="L4" s="151"/>
      <c r="M4" s="151"/>
      <c r="N4" s="151"/>
      <c r="O4" s="152"/>
      <c r="P4" s="148" t="s">
        <v>47</v>
      </c>
      <c r="Q4" s="153"/>
      <c r="R4" s="153"/>
      <c r="S4" s="153"/>
      <c r="U4" s="154"/>
      <c r="V4" s="154"/>
      <c r="W4" s="154"/>
      <c r="X4" s="155"/>
      <c r="Y4" s="154"/>
      <c r="Z4" s="154"/>
      <c r="AA4" s="156"/>
      <c r="AB4" s="154"/>
      <c r="AC4" s="154"/>
      <c r="AD4" s="155"/>
      <c r="AE4" s="157"/>
      <c r="AF4" s="157"/>
      <c r="AG4" s="157"/>
      <c r="AH4" s="157"/>
      <c r="AI4" s="157"/>
      <c r="AJ4" s="158"/>
      <c r="AK4" s="159"/>
      <c r="AL4" s="159"/>
      <c r="AM4" s="159"/>
      <c r="AN4" s="159"/>
      <c r="AO4" s="159"/>
    </row>
    <row r="5" spans="1:41" ht="13.5" customHeight="1">
      <c r="A5" s="154"/>
      <c r="B5" s="154"/>
      <c r="C5" s="155"/>
      <c r="D5" s="154"/>
      <c r="E5" s="154"/>
      <c r="F5" s="156"/>
      <c r="G5" s="154"/>
      <c r="H5" s="154"/>
      <c r="I5" s="155"/>
      <c r="J5" s="157"/>
      <c r="K5" s="157"/>
      <c r="L5" s="157"/>
      <c r="M5" s="157"/>
      <c r="N5" s="157"/>
      <c r="O5" s="158"/>
      <c r="P5" s="159"/>
      <c r="Q5" s="159"/>
      <c r="R5" s="159"/>
      <c r="S5" s="159"/>
      <c r="U5" s="154"/>
      <c r="V5" s="154"/>
      <c r="W5" s="154"/>
      <c r="X5" s="155"/>
      <c r="Y5" s="154"/>
      <c r="Z5" s="154"/>
      <c r="AA5" s="156"/>
      <c r="AB5" s="154"/>
      <c r="AC5" s="154"/>
      <c r="AD5" s="155"/>
      <c r="AE5" s="160" t="s">
        <v>48</v>
      </c>
      <c r="AF5" s="161"/>
      <c r="AG5" s="162"/>
      <c r="AH5" s="160" t="s">
        <v>49</v>
      </c>
      <c r="AI5" s="161"/>
      <c r="AJ5" s="162"/>
      <c r="AK5" s="154" t="s">
        <v>209</v>
      </c>
      <c r="AL5" s="154"/>
      <c r="AM5" s="162"/>
      <c r="AN5" s="154" t="s">
        <v>213</v>
      </c>
      <c r="AO5" s="154"/>
    </row>
    <row r="6" spans="1:41" ht="12.75" customHeight="1">
      <c r="A6" s="154"/>
      <c r="B6" s="154"/>
      <c r="C6" s="155"/>
      <c r="D6" s="154"/>
      <c r="E6" s="154"/>
      <c r="F6" s="156"/>
      <c r="G6" s="154"/>
      <c r="H6" s="154"/>
      <c r="I6" s="155"/>
      <c r="J6" s="160" t="s">
        <v>48</v>
      </c>
      <c r="K6" s="161"/>
      <c r="L6" s="162"/>
      <c r="M6" s="160" t="s">
        <v>49</v>
      </c>
      <c r="N6" s="161"/>
      <c r="O6" s="162"/>
      <c r="P6" s="154" t="s">
        <v>50</v>
      </c>
      <c r="Q6" s="154"/>
      <c r="R6" s="162"/>
      <c r="S6" s="154" t="s">
        <v>51</v>
      </c>
      <c r="U6" s="163"/>
      <c r="V6" s="163"/>
      <c r="W6" s="163"/>
      <c r="X6" s="155"/>
      <c r="Y6" s="163"/>
      <c r="Z6" s="163"/>
      <c r="AA6" s="156"/>
      <c r="AB6" s="163"/>
      <c r="AC6" s="163"/>
      <c r="AD6" s="155"/>
      <c r="AE6" s="157"/>
      <c r="AF6" s="157"/>
      <c r="AG6" s="164"/>
      <c r="AH6" s="157"/>
      <c r="AI6" s="157"/>
      <c r="AJ6" s="162"/>
      <c r="AK6" s="163"/>
      <c r="AL6" s="163"/>
      <c r="AM6" s="164"/>
      <c r="AN6" s="165"/>
      <c r="AO6" s="163"/>
    </row>
    <row r="7" spans="1:41" ht="12.75" customHeight="1">
      <c r="A7" s="163"/>
      <c r="B7" s="163"/>
      <c r="C7" s="155"/>
      <c r="D7" s="163"/>
      <c r="E7" s="163"/>
      <c r="F7" s="156"/>
      <c r="G7" s="163"/>
      <c r="H7" s="163"/>
      <c r="I7" s="155"/>
      <c r="J7" s="157"/>
      <c r="K7" s="157"/>
      <c r="L7" s="164"/>
      <c r="M7" s="157"/>
      <c r="N7" s="157"/>
      <c r="O7" s="162"/>
      <c r="P7" s="163"/>
      <c r="Q7" s="163"/>
      <c r="R7" s="164"/>
      <c r="S7" s="165"/>
    </row>
    <row r="8" spans="1:41" ht="13.5">
      <c r="V8" s="166" t="s">
        <v>161</v>
      </c>
      <c r="W8" s="166"/>
      <c r="Y8" s="167">
        <v>0.41</v>
      </c>
      <c r="Z8" s="168">
        <f>Y8</f>
        <v>0.41</v>
      </c>
      <c r="AA8" s="169"/>
      <c r="AB8" s="167">
        <v>0.43</v>
      </c>
      <c r="AC8" s="168">
        <f>AB8</f>
        <v>0.43</v>
      </c>
      <c r="AD8" s="170"/>
      <c r="AE8" s="170">
        <v>-37</v>
      </c>
      <c r="AF8" s="168">
        <f>AE8</f>
        <v>-37</v>
      </c>
      <c r="AH8" s="167">
        <v>-9.75</v>
      </c>
      <c r="AI8" s="168">
        <f>AH8</f>
        <v>-9.75</v>
      </c>
      <c r="AJ8" s="170"/>
      <c r="AK8" s="167">
        <v>0</v>
      </c>
      <c r="AL8" s="168">
        <f>AK8</f>
        <v>0</v>
      </c>
      <c r="AM8" s="169"/>
      <c r="AN8" s="167">
        <v>0.41</v>
      </c>
      <c r="AO8" s="168">
        <f>AN8</f>
        <v>0.41</v>
      </c>
    </row>
    <row r="9" spans="1:41" ht="13.5">
      <c r="A9" s="166" t="s">
        <v>161</v>
      </c>
      <c r="B9" s="166"/>
      <c r="D9" s="167">
        <v>0.41</v>
      </c>
      <c r="E9" s="170"/>
      <c r="F9" s="169"/>
      <c r="G9" s="167">
        <v>0.43</v>
      </c>
      <c r="H9" s="167"/>
      <c r="I9" s="170"/>
      <c r="J9" s="170">
        <v>-37</v>
      </c>
      <c r="K9" s="170"/>
      <c r="M9" s="167">
        <v>-9.75</v>
      </c>
      <c r="N9" s="170"/>
      <c r="O9" s="170"/>
      <c r="P9" s="167">
        <v>0</v>
      </c>
      <c r="Q9" s="167"/>
      <c r="R9" s="169"/>
      <c r="S9" s="167">
        <v>0.41</v>
      </c>
      <c r="T9" s="167"/>
      <c r="V9" s="171" t="s">
        <v>162</v>
      </c>
      <c r="W9" s="171"/>
      <c r="Y9" s="167">
        <v>2.06</v>
      </c>
      <c r="Z9" s="168">
        <f t="shared" ref="Z9:Z20" si="0">Y9</f>
        <v>2.06</v>
      </c>
      <c r="AA9" s="169"/>
      <c r="AB9" s="167">
        <v>5.18</v>
      </c>
      <c r="AC9" s="168">
        <f t="shared" ref="AC9:AC20" si="1">AB9</f>
        <v>5.18</v>
      </c>
      <c r="AD9" s="170"/>
      <c r="AE9" s="170">
        <v>-437</v>
      </c>
      <c r="AF9" s="168">
        <f t="shared" ref="AF9:AF20" si="2">AE9</f>
        <v>-437</v>
      </c>
      <c r="AH9" s="167">
        <v>-19.07</v>
      </c>
      <c r="AI9" s="168">
        <f t="shared" ref="AI9:AI20" si="3">AH9</f>
        <v>-19.07</v>
      </c>
      <c r="AJ9" s="170"/>
      <c r="AK9" s="167">
        <v>-0.27</v>
      </c>
      <c r="AL9" s="168">
        <f t="shared" ref="AL9:AL20" si="4">AK9</f>
        <v>-0.27</v>
      </c>
      <c r="AM9" s="169"/>
      <c r="AN9" s="167">
        <v>2.29</v>
      </c>
      <c r="AO9" s="168">
        <f t="shared" ref="AO9:AO20" si="5">AN9</f>
        <v>2.29</v>
      </c>
    </row>
    <row r="10" spans="1:41" ht="13.5">
      <c r="A10" s="171" t="s">
        <v>162</v>
      </c>
      <c r="B10" s="171"/>
      <c r="D10" s="167">
        <v>2.06</v>
      </c>
      <c r="E10" s="170"/>
      <c r="F10" s="169"/>
      <c r="G10" s="167">
        <v>5.18</v>
      </c>
      <c r="H10" s="167"/>
      <c r="I10" s="170"/>
      <c r="J10" s="170">
        <v>-437</v>
      </c>
      <c r="K10" s="170"/>
      <c r="M10" s="167">
        <v>-19.07</v>
      </c>
      <c r="N10" s="170"/>
      <c r="O10" s="170"/>
      <c r="P10" s="167">
        <v>-0.27</v>
      </c>
      <c r="Q10" s="167"/>
      <c r="R10" s="169"/>
      <c r="S10" s="167">
        <v>2.29</v>
      </c>
      <c r="T10" s="167"/>
      <c r="V10" s="166" t="s">
        <v>163</v>
      </c>
      <c r="W10" s="166"/>
      <c r="Y10" s="167">
        <v>2.34</v>
      </c>
      <c r="Z10" s="168">
        <f t="shared" si="0"/>
        <v>2.34</v>
      </c>
      <c r="AA10" s="169"/>
      <c r="AB10" s="167">
        <v>9.66</v>
      </c>
      <c r="AC10" s="168">
        <f t="shared" si="1"/>
        <v>9.66</v>
      </c>
      <c r="AD10" s="170"/>
      <c r="AE10" s="170">
        <v>-814</v>
      </c>
      <c r="AF10" s="168">
        <f t="shared" si="2"/>
        <v>-814</v>
      </c>
      <c r="AH10" s="167">
        <v>-11.58</v>
      </c>
      <c r="AI10" s="168">
        <f t="shared" si="3"/>
        <v>-11.58</v>
      </c>
      <c r="AJ10" s="170"/>
      <c r="AK10" s="167">
        <v>-0.19</v>
      </c>
      <c r="AL10" s="168">
        <f t="shared" si="4"/>
        <v>-0.19</v>
      </c>
      <c r="AM10" s="169"/>
      <c r="AN10" s="167">
        <v>7.68</v>
      </c>
      <c r="AO10" s="168">
        <f t="shared" si="5"/>
        <v>7.68</v>
      </c>
    </row>
    <row r="11" spans="1:41" ht="13.5">
      <c r="A11" s="166" t="s">
        <v>163</v>
      </c>
      <c r="B11" s="166"/>
      <c r="D11" s="167">
        <v>2.34</v>
      </c>
      <c r="E11" s="170"/>
      <c r="F11" s="169"/>
      <c r="G11" s="167">
        <v>9.66</v>
      </c>
      <c r="H11" s="167"/>
      <c r="I11" s="170"/>
      <c r="J11" s="170">
        <v>-814</v>
      </c>
      <c r="K11" s="170"/>
      <c r="M11" s="167">
        <v>-11.58</v>
      </c>
      <c r="N11" s="170"/>
      <c r="O11" s="170"/>
      <c r="P11" s="167">
        <v>-0.19</v>
      </c>
      <c r="Q11" s="167"/>
      <c r="R11" s="169"/>
      <c r="S11" s="167">
        <v>7.68</v>
      </c>
      <c r="T11" s="167"/>
      <c r="V11" s="166" t="s">
        <v>164</v>
      </c>
      <c r="W11" s="166"/>
      <c r="Y11" s="167">
        <v>2.27</v>
      </c>
      <c r="Z11" s="168">
        <f t="shared" si="0"/>
        <v>2.27</v>
      </c>
      <c r="AA11" s="169"/>
      <c r="AB11" s="167">
        <v>15.48</v>
      </c>
      <c r="AC11" s="168">
        <f t="shared" si="1"/>
        <v>15.48</v>
      </c>
      <c r="AD11" s="170"/>
      <c r="AE11" s="170">
        <v>-1305</v>
      </c>
      <c r="AF11" s="168">
        <f t="shared" si="2"/>
        <v>-1305</v>
      </c>
      <c r="AH11" s="167">
        <v>-8.41</v>
      </c>
      <c r="AI11" s="168">
        <f t="shared" si="3"/>
        <v>-8.41</v>
      </c>
      <c r="AJ11" s="170"/>
      <c r="AK11" s="167">
        <v>0.2</v>
      </c>
      <c r="AL11" s="168">
        <f t="shared" si="4"/>
        <v>0.2</v>
      </c>
      <c r="AM11" s="169"/>
      <c r="AN11" s="167">
        <v>17.559999999999999</v>
      </c>
      <c r="AO11" s="168">
        <f t="shared" si="5"/>
        <v>17.559999999999999</v>
      </c>
    </row>
    <row r="12" spans="1:41" ht="13.5">
      <c r="A12" s="166" t="s">
        <v>164</v>
      </c>
      <c r="B12" s="166"/>
      <c r="D12" s="167">
        <v>2.27</v>
      </c>
      <c r="E12" s="170"/>
      <c r="F12" s="169"/>
      <c r="G12" s="167">
        <v>15.48</v>
      </c>
      <c r="H12" s="167"/>
      <c r="I12" s="170"/>
      <c r="J12" s="170">
        <v>-1305</v>
      </c>
      <c r="K12" s="170"/>
      <c r="M12" s="167">
        <v>-8.41</v>
      </c>
      <c r="N12" s="170"/>
      <c r="O12" s="170"/>
      <c r="P12" s="167">
        <v>0.2</v>
      </c>
      <c r="Q12" s="167"/>
      <c r="R12" s="169"/>
      <c r="S12" s="167">
        <v>17.559999999999999</v>
      </c>
      <c r="T12" s="167"/>
      <c r="V12" s="166" t="s">
        <v>165</v>
      </c>
      <c r="W12" s="166"/>
      <c r="Y12" s="167">
        <v>3.6</v>
      </c>
      <c r="Z12" s="168">
        <f t="shared" si="0"/>
        <v>3.6</v>
      </c>
      <c r="AA12" s="169"/>
      <c r="AB12" s="167">
        <v>68.91</v>
      </c>
      <c r="AC12" s="168">
        <f t="shared" si="1"/>
        <v>68.91</v>
      </c>
      <c r="AD12" s="170"/>
      <c r="AE12" s="170">
        <v>-5809</v>
      </c>
      <c r="AF12" s="168">
        <f t="shared" si="2"/>
        <v>-5809</v>
      </c>
      <c r="AH12" s="167">
        <v>-9.07</v>
      </c>
      <c r="AI12" s="168">
        <f t="shared" si="3"/>
        <v>-9.07</v>
      </c>
      <c r="AJ12" s="170"/>
      <c r="AK12" s="167">
        <v>0.28000000000000003</v>
      </c>
      <c r="AL12" s="168">
        <f t="shared" si="4"/>
        <v>0.28000000000000003</v>
      </c>
      <c r="AM12" s="169"/>
      <c r="AN12" s="167">
        <v>71.91</v>
      </c>
      <c r="AO12" s="168">
        <f t="shared" si="5"/>
        <v>71.91</v>
      </c>
    </row>
    <row r="13" spans="1:41" ht="13.5">
      <c r="A13" s="166" t="s">
        <v>165</v>
      </c>
      <c r="B13" s="166"/>
      <c r="D13" s="167">
        <v>3.6</v>
      </c>
      <c r="E13" s="170"/>
      <c r="F13" s="169"/>
      <c r="G13" s="167">
        <v>68.91</v>
      </c>
      <c r="H13" s="167"/>
      <c r="I13" s="170"/>
      <c r="J13" s="170">
        <v>-5809</v>
      </c>
      <c r="K13" s="170"/>
      <c r="M13" s="167">
        <v>-9.07</v>
      </c>
      <c r="N13" s="170"/>
      <c r="O13" s="170"/>
      <c r="P13" s="167">
        <v>0.28000000000000003</v>
      </c>
      <c r="Q13" s="167"/>
      <c r="R13" s="169"/>
      <c r="S13" s="167">
        <v>71.91</v>
      </c>
      <c r="T13" s="167"/>
      <c r="V13" s="166" t="s">
        <v>52</v>
      </c>
      <c r="W13" s="166"/>
      <c r="Y13" s="167">
        <v>2.99</v>
      </c>
      <c r="Z13" s="168">
        <f t="shared" si="0"/>
        <v>2.99</v>
      </c>
      <c r="AA13" s="169"/>
      <c r="AB13" s="167">
        <v>100</v>
      </c>
      <c r="AC13" s="168">
        <f t="shared" si="1"/>
        <v>100</v>
      </c>
      <c r="AD13" s="170"/>
      <c r="AE13" s="170">
        <v>-1686</v>
      </c>
      <c r="AF13" s="168">
        <f t="shared" si="2"/>
        <v>-1686</v>
      </c>
      <c r="AH13" s="167">
        <v>-9.43</v>
      </c>
      <c r="AI13" s="168">
        <f t="shared" si="3"/>
        <v>-9.43</v>
      </c>
      <c r="AJ13" s="170"/>
      <c r="AK13" s="167">
        <v>0</v>
      </c>
      <c r="AL13" s="168">
        <f t="shared" si="4"/>
        <v>0</v>
      </c>
      <c r="AM13" s="169"/>
      <c r="AN13" s="167">
        <v>100</v>
      </c>
      <c r="AO13" s="168">
        <f t="shared" si="5"/>
        <v>100</v>
      </c>
    </row>
    <row r="14" spans="1:41" ht="13.5">
      <c r="A14" s="166" t="s">
        <v>52</v>
      </c>
      <c r="B14" s="166"/>
      <c r="D14" s="167">
        <v>2.99</v>
      </c>
      <c r="E14" s="170"/>
      <c r="F14" s="169"/>
      <c r="G14" s="167">
        <v>100</v>
      </c>
      <c r="H14" s="167"/>
      <c r="I14" s="170"/>
      <c r="J14" s="170">
        <v>-1686</v>
      </c>
      <c r="K14" s="170"/>
      <c r="M14" s="167">
        <v>-9.43</v>
      </c>
      <c r="N14" s="170"/>
      <c r="O14" s="170"/>
      <c r="P14" s="167">
        <v>0</v>
      </c>
      <c r="Q14" s="167"/>
      <c r="R14" s="169"/>
      <c r="S14" s="167">
        <v>100</v>
      </c>
      <c r="T14" s="167"/>
      <c r="V14" s="166"/>
      <c r="W14" s="166"/>
      <c r="Y14" s="167"/>
      <c r="Z14" s="168"/>
      <c r="AA14" s="169"/>
      <c r="AB14" s="167"/>
      <c r="AC14" s="168"/>
      <c r="AD14" s="170"/>
      <c r="AE14" s="170"/>
      <c r="AF14" s="168"/>
      <c r="AH14" s="167"/>
      <c r="AI14" s="168"/>
      <c r="AJ14" s="170"/>
      <c r="AK14" s="167"/>
      <c r="AL14" s="168"/>
      <c r="AM14" s="169"/>
      <c r="AN14" s="167"/>
      <c r="AO14" s="168"/>
    </row>
    <row r="15" spans="1:41" ht="13.5">
      <c r="A15" s="166"/>
      <c r="B15" s="166"/>
      <c r="D15" s="167"/>
      <c r="E15" s="170"/>
      <c r="F15" s="169"/>
      <c r="G15" s="167"/>
      <c r="H15" s="167"/>
      <c r="I15" s="170"/>
      <c r="J15" s="170"/>
      <c r="K15" s="170"/>
      <c r="M15" s="167"/>
      <c r="N15" s="170"/>
      <c r="O15" s="170"/>
      <c r="P15" s="167"/>
      <c r="Q15" s="167"/>
      <c r="R15" s="169"/>
      <c r="S15" s="167"/>
      <c r="T15" s="167"/>
      <c r="V15" s="172" t="s">
        <v>53</v>
      </c>
      <c r="W15" s="166"/>
      <c r="Z15" s="168"/>
      <c r="AC15" s="168"/>
      <c r="AF15" s="168"/>
      <c r="AI15" s="168"/>
      <c r="AL15" s="168"/>
      <c r="AM15" s="169"/>
      <c r="AO15" s="168"/>
    </row>
    <row r="16" spans="1:41" ht="13.5">
      <c r="A16" s="172" t="s">
        <v>53</v>
      </c>
      <c r="B16" s="166"/>
      <c r="Q16" s="167"/>
      <c r="R16" s="169"/>
      <c r="V16" s="166" t="s">
        <v>166</v>
      </c>
      <c r="W16" s="166"/>
      <c r="Y16" s="167">
        <v>4.03</v>
      </c>
      <c r="Z16" s="168">
        <f t="shared" si="0"/>
        <v>4.03</v>
      </c>
      <c r="AA16" s="169"/>
      <c r="AB16" s="167">
        <v>56.09</v>
      </c>
      <c r="AC16" s="168">
        <f t="shared" si="1"/>
        <v>56.09</v>
      </c>
      <c r="AD16" s="170"/>
      <c r="AE16" s="170">
        <v>-9457</v>
      </c>
      <c r="AF16" s="168">
        <f t="shared" si="2"/>
        <v>-9457</v>
      </c>
      <c r="AH16" s="167">
        <v>-9.4600000000000009</v>
      </c>
      <c r="AI16" s="168">
        <f t="shared" si="3"/>
        <v>-9.4600000000000009</v>
      </c>
      <c r="AJ16" s="170"/>
      <c r="AK16" s="167">
        <v>-0.02</v>
      </c>
      <c r="AL16" s="168">
        <f t="shared" si="4"/>
        <v>-0.02</v>
      </c>
      <c r="AM16" s="169"/>
      <c r="AN16" s="167">
        <v>55.87</v>
      </c>
      <c r="AO16" s="168">
        <f t="shared" si="5"/>
        <v>55.87</v>
      </c>
    </row>
    <row r="17" spans="1:41" ht="13.5">
      <c r="A17" s="166" t="s">
        <v>166</v>
      </c>
      <c r="B17" s="166"/>
      <c r="D17" s="167">
        <v>4.03</v>
      </c>
      <c r="E17" s="170"/>
      <c r="F17" s="169"/>
      <c r="G17" s="167">
        <v>56.09</v>
      </c>
      <c r="H17" s="167"/>
      <c r="I17" s="170"/>
      <c r="J17" s="170">
        <v>-9457</v>
      </c>
      <c r="K17" s="170"/>
      <c r="M17" s="167">
        <v>-9.4600000000000009</v>
      </c>
      <c r="N17" s="170"/>
      <c r="O17" s="170"/>
      <c r="P17" s="167">
        <v>-0.02</v>
      </c>
      <c r="Q17" s="167"/>
      <c r="R17" s="169"/>
      <c r="S17" s="167">
        <v>55.87</v>
      </c>
      <c r="T17" s="167"/>
      <c r="V17" s="166" t="s">
        <v>167</v>
      </c>
      <c r="W17" s="166"/>
      <c r="Y17" s="167">
        <v>4.68</v>
      </c>
      <c r="Z17" s="168">
        <f t="shared" si="0"/>
        <v>4.68</v>
      </c>
      <c r="AA17" s="169"/>
      <c r="AB17" s="167">
        <v>48.1</v>
      </c>
      <c r="AC17" s="168">
        <f t="shared" si="1"/>
        <v>48.1</v>
      </c>
      <c r="AD17" s="170"/>
      <c r="AE17" s="170">
        <v>-16223</v>
      </c>
      <c r="AF17" s="168">
        <f t="shared" si="2"/>
        <v>-16223</v>
      </c>
      <c r="AH17" s="167">
        <v>-10.39</v>
      </c>
      <c r="AI17" s="168">
        <f t="shared" si="3"/>
        <v>-10.39</v>
      </c>
      <c r="AJ17" s="170"/>
      <c r="AK17" s="167">
        <v>-0.46</v>
      </c>
      <c r="AL17" s="168">
        <f t="shared" si="4"/>
        <v>-0.46</v>
      </c>
      <c r="AM17" s="169"/>
      <c r="AN17" s="167">
        <v>43.22</v>
      </c>
      <c r="AO17" s="168">
        <f t="shared" si="5"/>
        <v>43.22</v>
      </c>
    </row>
    <row r="18" spans="1:41" ht="13.5">
      <c r="A18" s="166" t="s">
        <v>167</v>
      </c>
      <c r="B18" s="166"/>
      <c r="D18" s="167">
        <v>4.68</v>
      </c>
      <c r="E18" s="170"/>
      <c r="F18" s="169"/>
      <c r="G18" s="167">
        <v>48.1</v>
      </c>
      <c r="H18" s="167"/>
      <c r="I18" s="170"/>
      <c r="J18" s="170">
        <v>-16223</v>
      </c>
      <c r="K18" s="170"/>
      <c r="M18" s="167">
        <v>-10.39</v>
      </c>
      <c r="N18" s="170"/>
      <c r="O18" s="170"/>
      <c r="P18" s="167">
        <v>-0.46</v>
      </c>
      <c r="Q18" s="167"/>
      <c r="R18" s="169"/>
      <c r="S18" s="167">
        <v>43.22</v>
      </c>
      <c r="T18" s="167"/>
      <c r="V18" s="166" t="s">
        <v>168</v>
      </c>
      <c r="W18" s="166"/>
      <c r="Y18" s="167">
        <v>6.74</v>
      </c>
      <c r="Z18" s="168">
        <f t="shared" si="0"/>
        <v>6.74</v>
      </c>
      <c r="AA18" s="169"/>
      <c r="AB18" s="167">
        <v>36.78</v>
      </c>
      <c r="AC18" s="168">
        <f t="shared" si="1"/>
        <v>36.78</v>
      </c>
      <c r="AD18" s="170"/>
      <c r="AE18" s="170">
        <v>-62007</v>
      </c>
      <c r="AF18" s="168">
        <f t="shared" si="2"/>
        <v>-62007</v>
      </c>
      <c r="AH18" s="167">
        <v>-13.37</v>
      </c>
      <c r="AI18" s="168">
        <f t="shared" si="3"/>
        <v>-13.37</v>
      </c>
      <c r="AJ18" s="170"/>
      <c r="AK18" s="167">
        <v>-1.1299999999999999</v>
      </c>
      <c r="AL18" s="168">
        <f t="shared" si="4"/>
        <v>-1.1299999999999999</v>
      </c>
      <c r="AM18" s="169"/>
      <c r="AN18" s="167">
        <v>24.83</v>
      </c>
      <c r="AO18" s="168">
        <f t="shared" si="5"/>
        <v>24.83</v>
      </c>
    </row>
    <row r="19" spans="1:41" ht="13.5">
      <c r="A19" s="166" t="s">
        <v>168</v>
      </c>
      <c r="B19" s="166"/>
      <c r="D19" s="167">
        <v>6.74</v>
      </c>
      <c r="E19" s="170"/>
      <c r="F19" s="169"/>
      <c r="G19" s="167">
        <v>36.78</v>
      </c>
      <c r="H19" s="167"/>
      <c r="I19" s="170"/>
      <c r="J19" s="170">
        <v>-62007</v>
      </c>
      <c r="K19" s="170"/>
      <c r="M19" s="167">
        <v>-13.37</v>
      </c>
      <c r="N19" s="170"/>
      <c r="O19" s="170"/>
      <c r="P19" s="167">
        <v>-1.1299999999999999</v>
      </c>
      <c r="Q19" s="167"/>
      <c r="R19" s="169"/>
      <c r="S19" s="167">
        <v>24.83</v>
      </c>
      <c r="T19" s="167"/>
      <c r="V19" s="166" t="s">
        <v>169</v>
      </c>
      <c r="W19" s="166"/>
      <c r="Y19" s="167">
        <v>7.33</v>
      </c>
      <c r="Z19" s="168">
        <f t="shared" si="0"/>
        <v>7.33</v>
      </c>
      <c r="AA19" s="169"/>
      <c r="AB19" s="167">
        <v>31.05</v>
      </c>
      <c r="AC19" s="168">
        <f t="shared" si="1"/>
        <v>31.05</v>
      </c>
      <c r="AD19" s="170"/>
      <c r="AE19" s="170">
        <v>-104678</v>
      </c>
      <c r="AF19" s="168">
        <f t="shared" si="2"/>
        <v>-104678</v>
      </c>
      <c r="AH19" s="167">
        <v>-13.91</v>
      </c>
      <c r="AI19" s="168">
        <f t="shared" si="3"/>
        <v>-13.91</v>
      </c>
      <c r="AJ19" s="170"/>
      <c r="AK19" s="167">
        <v>-1.04</v>
      </c>
      <c r="AL19" s="168">
        <f t="shared" si="4"/>
        <v>-1.04</v>
      </c>
      <c r="AM19" s="169"/>
      <c r="AN19" s="167">
        <v>20.010000000000002</v>
      </c>
      <c r="AO19" s="168">
        <f t="shared" si="5"/>
        <v>20.010000000000002</v>
      </c>
    </row>
    <row r="20" spans="1:41" ht="13.5">
      <c r="A20" s="166" t="s">
        <v>169</v>
      </c>
      <c r="B20" s="166"/>
      <c r="D20" s="167">
        <v>7.33</v>
      </c>
      <c r="E20" s="170"/>
      <c r="F20" s="169"/>
      <c r="G20" s="167">
        <v>31.05</v>
      </c>
      <c r="H20" s="167"/>
      <c r="I20" s="170"/>
      <c r="J20" s="170">
        <v>-104678</v>
      </c>
      <c r="K20" s="170"/>
      <c r="M20" s="167">
        <v>-13.91</v>
      </c>
      <c r="N20" s="170"/>
      <c r="O20" s="170"/>
      <c r="P20" s="167">
        <v>-1.04</v>
      </c>
      <c r="Q20" s="167"/>
      <c r="R20" s="169"/>
      <c r="S20" s="167">
        <v>20.010000000000002</v>
      </c>
      <c r="T20" s="167"/>
      <c r="V20" s="166" t="s">
        <v>170</v>
      </c>
      <c r="W20" s="166"/>
      <c r="Y20" s="167">
        <v>7.81</v>
      </c>
      <c r="Z20" s="168">
        <f t="shared" si="0"/>
        <v>7.81</v>
      </c>
      <c r="AA20" s="169"/>
      <c r="AB20" s="167">
        <v>18.63</v>
      </c>
      <c r="AC20" s="168">
        <f t="shared" si="1"/>
        <v>18.63</v>
      </c>
      <c r="AD20" s="170"/>
      <c r="AE20" s="170">
        <v>-314150</v>
      </c>
      <c r="AF20" s="168">
        <f t="shared" si="2"/>
        <v>-314150</v>
      </c>
      <c r="AH20" s="167">
        <v>-13.68</v>
      </c>
      <c r="AI20" s="168">
        <f t="shared" si="3"/>
        <v>-13.68</v>
      </c>
      <c r="AJ20" s="170"/>
      <c r="AK20" s="167">
        <v>-0.6</v>
      </c>
      <c r="AL20" s="168">
        <f t="shared" si="4"/>
        <v>-0.6</v>
      </c>
      <c r="AM20" s="169"/>
      <c r="AN20" s="167">
        <v>12.25</v>
      </c>
      <c r="AO20" s="168">
        <f t="shared" si="5"/>
        <v>12.25</v>
      </c>
    </row>
    <row r="21" spans="1:41" ht="13.5">
      <c r="A21" s="166" t="s">
        <v>170</v>
      </c>
      <c r="B21" s="166"/>
      <c r="D21" s="167">
        <v>7.81</v>
      </c>
      <c r="E21" s="170"/>
      <c r="F21" s="169"/>
      <c r="G21" s="167">
        <v>18.63</v>
      </c>
      <c r="H21" s="167"/>
      <c r="I21" s="170"/>
      <c r="J21" s="170">
        <v>-314150</v>
      </c>
      <c r="K21" s="170"/>
      <c r="M21" s="167">
        <v>-13.68</v>
      </c>
      <c r="N21" s="170"/>
      <c r="O21" s="170"/>
      <c r="P21" s="167">
        <v>-0.6</v>
      </c>
      <c r="Q21" s="167"/>
      <c r="R21" s="169"/>
      <c r="S21" s="167">
        <v>12.25</v>
      </c>
      <c r="T21" s="167"/>
      <c r="U21" s="173"/>
      <c r="V21" s="173"/>
      <c r="W21" s="173"/>
      <c r="X21" s="173"/>
      <c r="Y21" s="173"/>
      <c r="Z21" s="173"/>
      <c r="AA21" s="173"/>
      <c r="AB21" s="173"/>
      <c r="AC21" s="173"/>
      <c r="AD21" s="173"/>
      <c r="AE21" s="173"/>
      <c r="AF21" s="173"/>
      <c r="AG21" s="173"/>
      <c r="AH21" s="173"/>
      <c r="AI21" s="173"/>
      <c r="AJ21" s="173"/>
      <c r="AK21" s="173"/>
      <c r="AL21" s="173"/>
      <c r="AM21" s="173"/>
      <c r="AN21" s="173"/>
      <c r="AO21" s="173"/>
    </row>
    <row r="22" spans="1:41" ht="13.5">
      <c r="A22" s="173"/>
      <c r="B22" s="173"/>
      <c r="C22" s="173"/>
      <c r="D22" s="173"/>
      <c r="E22" s="173"/>
      <c r="F22" s="173"/>
      <c r="G22" s="173"/>
      <c r="H22" s="173"/>
      <c r="I22" s="173"/>
      <c r="J22" s="173"/>
      <c r="K22" s="173"/>
      <c r="L22" s="173"/>
      <c r="M22" s="173"/>
      <c r="N22" s="173"/>
      <c r="O22" s="173"/>
      <c r="P22" s="173"/>
      <c r="Q22" s="173"/>
      <c r="R22" s="173"/>
      <c r="S22" s="173"/>
      <c r="U22" s="146" t="s">
        <v>250</v>
      </c>
    </row>
    <row r="23" spans="1:41" ht="13.5">
      <c r="A23" s="146" t="s">
        <v>250</v>
      </c>
    </row>
    <row r="24" spans="1:41" ht="12.75" customHeight="1"/>
  </sheetData>
  <mergeCells count="24">
    <mergeCell ref="J6:K7"/>
    <mergeCell ref="M6:N7"/>
    <mergeCell ref="P6:Q7"/>
    <mergeCell ref="U3:U6"/>
    <mergeCell ref="S6:S7"/>
    <mergeCell ref="AE5:AF6"/>
    <mergeCell ref="AH5:AI6"/>
    <mergeCell ref="AK5:AL6"/>
    <mergeCell ref="AN5:AN6"/>
    <mergeCell ref="P4:S5"/>
    <mergeCell ref="AO3:AO4"/>
    <mergeCell ref="AO5:AO6"/>
    <mergeCell ref="A1:S1"/>
    <mergeCell ref="A2:S2"/>
    <mergeCell ref="A4:B7"/>
    <mergeCell ref="D4:E7"/>
    <mergeCell ref="G4:H7"/>
    <mergeCell ref="J4:N5"/>
    <mergeCell ref="V1:AN1"/>
    <mergeCell ref="V3:W6"/>
    <mergeCell ref="Y3:Z6"/>
    <mergeCell ref="AB3:AC6"/>
    <mergeCell ref="AE3:AI4"/>
    <mergeCell ref="AK3:AN4"/>
  </mergeCells>
  <phoneticPr fontId="27" type="noConversion"/>
  <conditionalFormatting sqref="Z8:Z20">
    <cfRule type="dataBar" priority="6">
      <dataBar>
        <cfvo type="min"/>
        <cfvo type="max"/>
        <color theme="4"/>
      </dataBar>
      <extLst>
        <ext xmlns:x14="http://schemas.microsoft.com/office/spreadsheetml/2009/9/main" uri="{B025F937-C7B1-47D3-B67F-A62EFF666E3E}">
          <x14:id>{3C64D01A-2906-8B43-AE30-D00E68BC683F}</x14:id>
        </ext>
      </extLst>
    </cfRule>
  </conditionalFormatting>
  <conditionalFormatting sqref="AC8:AC20">
    <cfRule type="dataBar" priority="5">
      <dataBar>
        <cfvo type="min"/>
        <cfvo type="max"/>
        <color theme="4"/>
      </dataBar>
      <extLst>
        <ext xmlns:x14="http://schemas.microsoft.com/office/spreadsheetml/2009/9/main" uri="{B025F937-C7B1-47D3-B67F-A62EFF666E3E}">
          <x14:id>{1F00E25A-75AC-F44C-B09C-2AB0F64A5F24}</x14:id>
        </ext>
      </extLst>
    </cfRule>
  </conditionalFormatting>
  <conditionalFormatting sqref="AF8:AF20">
    <cfRule type="dataBar" priority="4">
      <dataBar>
        <cfvo type="min"/>
        <cfvo type="max"/>
        <color theme="4"/>
      </dataBar>
      <extLst>
        <ext xmlns:x14="http://schemas.microsoft.com/office/spreadsheetml/2009/9/main" uri="{B025F937-C7B1-47D3-B67F-A62EFF666E3E}">
          <x14:id>{1BEBD3AF-E1E8-9E4D-ADA5-A0A63BE778A1}</x14:id>
        </ext>
      </extLst>
    </cfRule>
  </conditionalFormatting>
  <conditionalFormatting sqref="AI8:AI20">
    <cfRule type="dataBar" priority="3">
      <dataBar>
        <cfvo type="min"/>
        <cfvo type="max"/>
        <color theme="4"/>
      </dataBar>
      <extLst>
        <ext xmlns:x14="http://schemas.microsoft.com/office/spreadsheetml/2009/9/main" uri="{B025F937-C7B1-47D3-B67F-A62EFF666E3E}">
          <x14:id>{BB6A81F1-2B45-D446-8F14-721F4A5E6834}</x14:id>
        </ext>
      </extLst>
    </cfRule>
  </conditionalFormatting>
  <conditionalFormatting sqref="AL8:AL20">
    <cfRule type="dataBar" priority="2">
      <dataBar>
        <cfvo type="min"/>
        <cfvo type="max"/>
        <color theme="4"/>
      </dataBar>
      <extLst>
        <ext xmlns:x14="http://schemas.microsoft.com/office/spreadsheetml/2009/9/main" uri="{B025F937-C7B1-47D3-B67F-A62EFF666E3E}">
          <x14:id>{EDD0FB12-98B8-2E4F-9676-F41FA7F7266D}</x14:id>
        </ext>
      </extLst>
    </cfRule>
  </conditionalFormatting>
  <conditionalFormatting sqref="AO8:AO20">
    <cfRule type="dataBar" priority="1">
      <dataBar>
        <cfvo type="min"/>
        <cfvo type="max"/>
        <color theme="4"/>
      </dataBar>
      <extLst>
        <ext xmlns:x14="http://schemas.microsoft.com/office/spreadsheetml/2009/9/main" uri="{B025F937-C7B1-47D3-B67F-A62EFF666E3E}">
          <x14:id>{065D418A-0D6D-F144-A2D8-688518C4F69C}</x14:id>
        </ext>
      </extLst>
    </cfRule>
  </conditionalFormatting>
  <printOptions horizontalCentered="1"/>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3C64D01A-2906-8B43-AE30-D00E68BC683F}">
            <x14:dataBar minLength="0" maxLength="100" gradient="0">
              <x14:cfvo type="autoMin"/>
              <x14:cfvo type="autoMax"/>
              <x14:negativeFillColor theme="7"/>
              <x14:axisColor rgb="FF000000"/>
            </x14:dataBar>
          </x14:cfRule>
          <xm:sqref>Z8:Z20</xm:sqref>
        </x14:conditionalFormatting>
        <x14:conditionalFormatting xmlns:xm="http://schemas.microsoft.com/office/excel/2006/main">
          <x14:cfRule type="dataBar" id="{1F00E25A-75AC-F44C-B09C-2AB0F64A5F24}">
            <x14:dataBar minLength="0" maxLength="100" gradient="0">
              <x14:cfvo type="autoMin"/>
              <x14:cfvo type="autoMax"/>
              <x14:negativeFillColor theme="7"/>
              <x14:axisColor rgb="FF000000"/>
            </x14:dataBar>
          </x14:cfRule>
          <xm:sqref>AC8:AC20</xm:sqref>
        </x14:conditionalFormatting>
        <x14:conditionalFormatting xmlns:xm="http://schemas.microsoft.com/office/excel/2006/main">
          <x14:cfRule type="dataBar" id="{1BEBD3AF-E1E8-9E4D-ADA5-A0A63BE778A1}">
            <x14:dataBar minLength="0" maxLength="100" gradient="0">
              <x14:cfvo type="autoMin"/>
              <x14:cfvo type="autoMax"/>
              <x14:negativeFillColor theme="7"/>
              <x14:axisColor rgb="FF000000"/>
            </x14:dataBar>
          </x14:cfRule>
          <xm:sqref>AF8:AF20</xm:sqref>
        </x14:conditionalFormatting>
        <x14:conditionalFormatting xmlns:xm="http://schemas.microsoft.com/office/excel/2006/main">
          <x14:cfRule type="dataBar" id="{BB6A81F1-2B45-D446-8F14-721F4A5E6834}">
            <x14:dataBar minLength="0" maxLength="100" gradient="0">
              <x14:cfvo type="autoMin"/>
              <x14:cfvo type="autoMax"/>
              <x14:negativeFillColor theme="7"/>
              <x14:axisColor rgb="FF000000"/>
            </x14:dataBar>
          </x14:cfRule>
          <xm:sqref>AI8:AI20</xm:sqref>
        </x14:conditionalFormatting>
        <x14:conditionalFormatting xmlns:xm="http://schemas.microsoft.com/office/excel/2006/main">
          <x14:cfRule type="dataBar" id="{EDD0FB12-98B8-2E4F-9676-F41FA7F7266D}">
            <x14:dataBar minLength="0" maxLength="100" gradient="0">
              <x14:cfvo type="autoMin"/>
              <x14:cfvo type="autoMax"/>
              <x14:negativeFillColor theme="7"/>
              <x14:axisColor rgb="FF000000"/>
            </x14:dataBar>
          </x14:cfRule>
          <xm:sqref>AL8:AL20</xm:sqref>
        </x14:conditionalFormatting>
        <x14:conditionalFormatting xmlns:xm="http://schemas.microsoft.com/office/excel/2006/main">
          <x14:cfRule type="dataBar" id="{065D418A-0D6D-F144-A2D8-688518C4F69C}">
            <x14:dataBar minLength="0" maxLength="100" gradient="0">
              <x14:cfvo type="autoMin"/>
              <x14:cfvo type="autoMax"/>
              <x14:negativeFillColor theme="7"/>
              <x14:axisColor rgb="FF000000"/>
            </x14:dataBar>
          </x14:cfRule>
          <xm:sqref>AO8:AO20</xm:sqref>
        </x14:conditionalFormatting>
      </x14:conditionalFormatting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42"/>
  <sheetViews>
    <sheetView zoomScale="64" zoomScaleNormal="64" workbookViewId="0">
      <selection activeCell="U25" sqref="U25"/>
    </sheetView>
  </sheetViews>
  <sheetFormatPr defaultColWidth="8.875" defaultRowHeight="12.75"/>
  <cols>
    <col min="1" max="1" width="21.375" style="3" customWidth="1"/>
    <col min="2" max="2" width="9.625" style="3" customWidth="1"/>
    <col min="3" max="16384" width="8.875" style="3"/>
  </cols>
  <sheetData>
    <row r="1" spans="1:13">
      <c r="A1" s="1" t="s">
        <v>0</v>
      </c>
      <c r="B1" s="2"/>
      <c r="C1" s="2"/>
      <c r="D1" s="2"/>
      <c r="E1" s="2"/>
      <c r="F1" s="2"/>
      <c r="G1" s="2"/>
      <c r="H1" s="2"/>
      <c r="I1" s="2"/>
      <c r="J1" s="2"/>
      <c r="K1" s="2"/>
    </row>
    <row r="2" spans="1:13">
      <c r="A2" s="4" t="s">
        <v>1</v>
      </c>
      <c r="B2" s="2"/>
      <c r="C2" s="2"/>
      <c r="D2" s="2"/>
      <c r="E2" s="2"/>
      <c r="F2" s="2"/>
      <c r="G2" s="2"/>
      <c r="H2" s="2"/>
      <c r="I2" s="2"/>
      <c r="J2" s="2"/>
      <c r="K2" s="2"/>
    </row>
    <row r="3" spans="1:13" ht="24" customHeight="1">
      <c r="A3" s="2"/>
      <c r="B3" s="5" t="s">
        <v>2</v>
      </c>
      <c r="C3" s="2"/>
      <c r="D3" s="2"/>
      <c r="E3" s="2"/>
      <c r="F3" s="2"/>
      <c r="G3" s="2"/>
      <c r="H3" s="2"/>
      <c r="I3" s="2"/>
      <c r="J3" s="2"/>
      <c r="K3" s="2"/>
    </row>
    <row r="4" spans="1:13">
      <c r="A4" s="2" t="s">
        <v>3</v>
      </c>
      <c r="B4" s="6">
        <v>48.17727</v>
      </c>
      <c r="C4" s="7">
        <f>B4/100</f>
        <v>0.4817727</v>
      </c>
      <c r="D4" s="2"/>
      <c r="E4" s="2"/>
      <c r="F4" s="2"/>
      <c r="G4" s="2"/>
      <c r="H4" s="2"/>
      <c r="I4" s="2"/>
      <c r="J4" s="2"/>
      <c r="K4" s="2"/>
    </row>
    <row r="5" spans="1:13">
      <c r="A5" s="2" t="s">
        <v>4</v>
      </c>
      <c r="B5" s="6">
        <v>46.295859999999998</v>
      </c>
      <c r="C5" s="7">
        <f t="shared" ref="C5:C37" si="0">B5/100</f>
        <v>0.4629586</v>
      </c>
      <c r="D5" s="2"/>
      <c r="E5" s="2"/>
      <c r="F5" s="2"/>
      <c r="G5" s="2"/>
      <c r="H5" s="2"/>
      <c r="I5" s="2"/>
      <c r="J5" s="2"/>
      <c r="K5" s="2"/>
    </row>
    <row r="6" spans="1:13" s="8" customFormat="1">
      <c r="A6" s="2" t="s">
        <v>5</v>
      </c>
      <c r="B6" s="6">
        <v>44.160539999999997</v>
      </c>
      <c r="C6" s="7">
        <f t="shared" si="0"/>
        <v>0.44160539999999998</v>
      </c>
      <c r="D6" s="1"/>
      <c r="E6" s="1"/>
      <c r="F6" s="1"/>
      <c r="G6" s="1"/>
      <c r="H6" s="1"/>
      <c r="I6" s="1"/>
      <c r="J6" s="1"/>
      <c r="K6" s="1"/>
      <c r="M6" s="3"/>
    </row>
    <row r="7" spans="1:13">
      <c r="A7" s="2" t="s">
        <v>6</v>
      </c>
      <c r="B7" s="6">
        <v>43.272790000000001</v>
      </c>
      <c r="C7" s="7">
        <f t="shared" si="0"/>
        <v>0.4327279</v>
      </c>
      <c r="D7" s="2"/>
      <c r="E7" s="2"/>
      <c r="F7" s="2"/>
      <c r="G7" s="2"/>
      <c r="H7" s="2"/>
      <c r="I7" s="2"/>
      <c r="J7" s="2"/>
      <c r="K7" s="2"/>
    </row>
    <row r="8" spans="1:13">
      <c r="A8" s="2" t="s">
        <v>7</v>
      </c>
      <c r="B8" s="6">
        <v>43.178359999999998</v>
      </c>
      <c r="C8" s="7">
        <f t="shared" si="0"/>
        <v>0.43178359999999999</v>
      </c>
      <c r="D8" s="2"/>
      <c r="E8" s="2"/>
      <c r="F8" s="2"/>
      <c r="G8" s="2"/>
      <c r="H8" s="2"/>
      <c r="I8" s="2"/>
      <c r="J8" s="2"/>
      <c r="K8" s="2"/>
    </row>
    <row r="9" spans="1:13">
      <c r="A9" s="2" t="s">
        <v>8</v>
      </c>
      <c r="B9" s="6">
        <v>43.134810000000002</v>
      </c>
      <c r="C9" s="7">
        <f t="shared" si="0"/>
        <v>0.43134810000000001</v>
      </c>
      <c r="D9" s="2"/>
      <c r="E9" s="2"/>
      <c r="F9" s="2"/>
      <c r="G9" s="2"/>
      <c r="H9" s="2"/>
      <c r="I9" s="2"/>
      <c r="J9" s="2"/>
      <c r="K9" s="2"/>
    </row>
    <row r="10" spans="1:13">
      <c r="A10" s="2" t="s">
        <v>9</v>
      </c>
      <c r="B10" s="6">
        <v>42.703069999999997</v>
      </c>
      <c r="C10" s="7">
        <f t="shared" si="0"/>
        <v>0.42703069999999999</v>
      </c>
      <c r="D10" s="2"/>
      <c r="E10" s="2"/>
      <c r="F10" s="2"/>
      <c r="G10" s="2"/>
      <c r="H10" s="2"/>
      <c r="I10" s="2"/>
      <c r="J10" s="2"/>
      <c r="K10" s="2"/>
    </row>
    <row r="11" spans="1:13">
      <c r="A11" s="2" t="s">
        <v>10</v>
      </c>
      <c r="B11" s="6">
        <v>42.599049999999998</v>
      </c>
      <c r="C11" s="7">
        <f t="shared" si="0"/>
        <v>0.42599049999999999</v>
      </c>
      <c r="D11" s="2"/>
      <c r="E11" s="2"/>
      <c r="F11" s="2"/>
      <c r="G11" s="2"/>
      <c r="H11" s="2"/>
      <c r="I11" s="2"/>
      <c r="J11" s="2"/>
      <c r="K11" s="2"/>
    </row>
    <row r="12" spans="1:13">
      <c r="A12" s="2" t="s">
        <v>11</v>
      </c>
      <c r="B12" s="6">
        <v>40.182929999999999</v>
      </c>
      <c r="C12" s="7">
        <f t="shared" si="0"/>
        <v>0.4018293</v>
      </c>
      <c r="D12" s="2"/>
      <c r="E12" s="2"/>
      <c r="F12" s="2"/>
      <c r="G12" s="2"/>
      <c r="H12" s="2"/>
      <c r="I12" s="2"/>
      <c r="J12" s="2"/>
      <c r="K12" s="2"/>
    </row>
    <row r="13" spans="1:13">
      <c r="A13" s="2" t="s">
        <v>12</v>
      </c>
      <c r="B13" s="6">
        <v>39.090710000000001</v>
      </c>
      <c r="C13" s="7">
        <f t="shared" si="0"/>
        <v>0.39090710000000001</v>
      </c>
      <c r="D13" s="2"/>
      <c r="E13" s="2"/>
      <c r="F13" s="2"/>
      <c r="G13" s="2"/>
      <c r="H13" s="2"/>
      <c r="I13" s="2"/>
      <c r="J13" s="2"/>
      <c r="K13" s="2"/>
    </row>
    <row r="14" spans="1:13">
      <c r="A14" s="2" t="s">
        <v>13</v>
      </c>
      <c r="B14" s="6">
        <v>37.181139999999999</v>
      </c>
      <c r="C14" s="7">
        <f t="shared" si="0"/>
        <v>0.37181140000000001</v>
      </c>
      <c r="D14" s="2"/>
      <c r="E14" s="2"/>
      <c r="F14" s="2"/>
      <c r="G14" s="2"/>
      <c r="H14" s="2"/>
      <c r="I14" s="2"/>
      <c r="J14" s="2"/>
      <c r="K14" s="2"/>
    </row>
    <row r="15" spans="1:13">
      <c r="A15" s="2" t="s">
        <v>14</v>
      </c>
      <c r="B15" s="6">
        <v>36.974170000000001</v>
      </c>
      <c r="C15" s="7">
        <f t="shared" si="0"/>
        <v>0.36974170000000001</v>
      </c>
      <c r="D15" s="2"/>
      <c r="E15" s="2"/>
      <c r="F15" s="2"/>
      <c r="G15" s="2"/>
      <c r="H15" s="2"/>
      <c r="I15" s="2"/>
      <c r="J15" s="2"/>
      <c r="K15" s="2"/>
    </row>
    <row r="16" spans="1:13">
      <c r="A16" s="2" t="s">
        <v>15</v>
      </c>
      <c r="B16" s="6">
        <v>36.787129999999998</v>
      </c>
      <c r="C16" s="7">
        <f t="shared" si="0"/>
        <v>0.36787129999999996</v>
      </c>
      <c r="D16" s="2"/>
      <c r="E16" s="2"/>
      <c r="F16" s="2"/>
      <c r="G16" s="2"/>
      <c r="H16" s="2"/>
      <c r="I16" s="2"/>
      <c r="J16" s="2"/>
      <c r="K16" s="2"/>
    </row>
    <row r="17" spans="1:13">
      <c r="A17" s="2" t="s">
        <v>16</v>
      </c>
      <c r="B17" s="6">
        <v>36.042529999999999</v>
      </c>
      <c r="C17" s="7">
        <f t="shared" si="0"/>
        <v>0.3604253</v>
      </c>
      <c r="D17" s="2"/>
      <c r="E17" s="2"/>
      <c r="F17" s="2"/>
      <c r="G17" s="2"/>
      <c r="H17" s="2"/>
      <c r="I17" s="2"/>
      <c r="J17" s="2"/>
      <c r="K17" s="2"/>
      <c r="M17" s="8"/>
    </row>
    <row r="18" spans="1:13">
      <c r="A18" s="2" t="s">
        <v>17</v>
      </c>
      <c r="B18" s="6">
        <v>35.673699999999997</v>
      </c>
      <c r="C18" s="7">
        <f t="shared" si="0"/>
        <v>0.35673699999999997</v>
      </c>
      <c r="D18" s="2"/>
      <c r="E18" s="2"/>
      <c r="F18" s="2"/>
      <c r="G18" s="2"/>
      <c r="H18" s="2"/>
      <c r="I18" s="2"/>
      <c r="J18" s="2"/>
      <c r="K18" s="2"/>
    </row>
    <row r="19" spans="1:13">
      <c r="A19" s="2" t="s">
        <v>18</v>
      </c>
      <c r="B19" s="6">
        <v>35.549639999999997</v>
      </c>
      <c r="C19" s="7">
        <f t="shared" si="0"/>
        <v>0.35549639999999999</v>
      </c>
      <c r="D19" s="2"/>
      <c r="E19" s="2"/>
      <c r="F19" s="2"/>
      <c r="G19" s="2"/>
      <c r="H19" s="2"/>
      <c r="I19" s="2"/>
      <c r="J19" s="2"/>
      <c r="K19" s="2"/>
    </row>
    <row r="20" spans="1:13">
      <c r="A20" s="2" t="s">
        <v>19</v>
      </c>
      <c r="B20" s="6">
        <v>35.247599999999998</v>
      </c>
      <c r="C20" s="7">
        <f t="shared" si="0"/>
        <v>0.35247600000000001</v>
      </c>
      <c r="D20" s="2"/>
      <c r="E20" s="2"/>
      <c r="F20" s="2"/>
      <c r="G20" s="2"/>
      <c r="H20" s="2"/>
      <c r="I20" s="2"/>
      <c r="J20" s="2"/>
      <c r="K20" s="2"/>
    </row>
    <row r="21" spans="1:13">
      <c r="A21" s="9" t="s">
        <v>20</v>
      </c>
      <c r="B21" s="10">
        <v>34.813749999999999</v>
      </c>
      <c r="C21" s="7">
        <f t="shared" si="0"/>
        <v>0.34813749999999999</v>
      </c>
      <c r="D21" s="2"/>
      <c r="E21" s="2"/>
      <c r="F21" s="2"/>
      <c r="G21" s="2"/>
      <c r="H21" s="2"/>
      <c r="I21" s="2"/>
      <c r="J21" s="2"/>
      <c r="K21" s="2"/>
    </row>
    <row r="22" spans="1:13">
      <c r="A22" s="2" t="s">
        <v>21</v>
      </c>
      <c r="B22" s="6">
        <v>34.289520000000003</v>
      </c>
      <c r="C22" s="7">
        <f t="shared" si="0"/>
        <v>0.34289520000000001</v>
      </c>
      <c r="D22" s="2"/>
      <c r="E22" s="2"/>
      <c r="F22" s="2"/>
      <c r="G22" s="2"/>
      <c r="H22" s="2"/>
      <c r="I22" s="2"/>
      <c r="J22" s="2"/>
      <c r="K22" s="2"/>
    </row>
    <row r="23" spans="1:13">
      <c r="A23" s="2" t="s">
        <v>22</v>
      </c>
      <c r="B23" s="6">
        <v>33.772460000000002</v>
      </c>
      <c r="C23" s="7">
        <f t="shared" si="0"/>
        <v>0.33772460000000004</v>
      </c>
      <c r="D23" s="2"/>
      <c r="E23" s="2"/>
      <c r="F23" s="2"/>
      <c r="G23" s="2"/>
      <c r="H23" s="2"/>
      <c r="I23" s="2"/>
      <c r="J23" s="2"/>
      <c r="K23" s="2"/>
    </row>
    <row r="24" spans="1:13">
      <c r="A24" s="2" t="s">
        <v>23</v>
      </c>
      <c r="B24" s="6">
        <v>33.721330000000002</v>
      </c>
      <c r="C24" s="7">
        <f t="shared" si="0"/>
        <v>0.33721329999999999</v>
      </c>
      <c r="D24" s="2"/>
      <c r="E24" s="2"/>
      <c r="F24" s="2"/>
      <c r="G24" s="2"/>
      <c r="H24" s="2"/>
      <c r="I24" s="2"/>
      <c r="J24" s="2"/>
      <c r="K24" s="2"/>
    </row>
    <row r="25" spans="1:13">
      <c r="A25" s="2" t="s">
        <v>24</v>
      </c>
      <c r="B25" s="6">
        <v>33.257359999999998</v>
      </c>
      <c r="C25" s="7">
        <f t="shared" si="0"/>
        <v>0.33257359999999997</v>
      </c>
      <c r="D25" s="2"/>
      <c r="E25" s="2"/>
      <c r="F25" s="2"/>
      <c r="G25" s="2"/>
      <c r="H25" s="2"/>
      <c r="I25" s="2"/>
      <c r="J25" s="2"/>
      <c r="K25" s="2"/>
    </row>
    <row r="26" spans="1:13">
      <c r="A26" s="2" t="s">
        <v>25</v>
      </c>
      <c r="B26" s="6">
        <v>32.569029999999998</v>
      </c>
      <c r="C26" s="7">
        <f t="shared" si="0"/>
        <v>0.32569029999999999</v>
      </c>
      <c r="D26" s="2"/>
      <c r="E26" s="2"/>
      <c r="F26" s="2"/>
      <c r="G26" s="2"/>
      <c r="H26" s="2"/>
      <c r="I26" s="2"/>
      <c r="J26" s="2"/>
      <c r="K26" s="2"/>
    </row>
    <row r="27" spans="1:13">
      <c r="A27" s="2" t="s">
        <v>26</v>
      </c>
      <c r="B27" s="6">
        <v>32.326410000000003</v>
      </c>
      <c r="C27" s="7">
        <f t="shared" si="0"/>
        <v>0.32326410000000005</v>
      </c>
      <c r="D27" s="2"/>
      <c r="E27" s="2"/>
      <c r="F27" s="2"/>
      <c r="G27" s="2"/>
      <c r="H27" s="2"/>
      <c r="I27" s="2"/>
      <c r="J27" s="2"/>
      <c r="K27" s="2"/>
    </row>
    <row r="28" spans="1:13">
      <c r="A28" s="2" t="s">
        <v>27</v>
      </c>
      <c r="B28" s="6">
        <v>29.319230000000001</v>
      </c>
      <c r="C28" s="7">
        <f t="shared" si="0"/>
        <v>0.29319230000000002</v>
      </c>
      <c r="D28" s="2"/>
      <c r="E28" s="2"/>
      <c r="F28" s="2"/>
      <c r="G28" s="2"/>
      <c r="H28" s="2"/>
      <c r="I28" s="2"/>
      <c r="J28" s="2"/>
      <c r="K28" s="2"/>
    </row>
    <row r="29" spans="1:13">
      <c r="A29" s="2" t="s">
        <v>28</v>
      </c>
      <c r="B29" s="6">
        <v>29.07808</v>
      </c>
      <c r="C29" s="7">
        <f t="shared" si="0"/>
        <v>0.29078080000000001</v>
      </c>
      <c r="D29" s="2"/>
      <c r="E29" s="2"/>
      <c r="F29" s="2"/>
      <c r="G29" s="2"/>
      <c r="H29" s="2"/>
      <c r="I29" s="2"/>
      <c r="J29" s="2"/>
      <c r="K29" s="2"/>
    </row>
    <row r="30" spans="1:13">
      <c r="A30" s="2" t="s">
        <v>29</v>
      </c>
      <c r="B30" s="6">
        <v>28.755510000000001</v>
      </c>
      <c r="C30" s="7">
        <f t="shared" si="0"/>
        <v>0.28755510000000001</v>
      </c>
      <c r="D30" s="2"/>
      <c r="E30" s="2"/>
      <c r="F30" s="2"/>
      <c r="G30" s="2"/>
      <c r="H30" s="2"/>
      <c r="I30" s="2"/>
      <c r="J30" s="2"/>
      <c r="K30" s="2"/>
    </row>
    <row r="31" spans="1:13">
      <c r="A31" s="2" t="s">
        <v>30</v>
      </c>
      <c r="B31" s="6">
        <v>28.14828</v>
      </c>
      <c r="C31" s="7">
        <f t="shared" si="0"/>
        <v>0.28148279999999998</v>
      </c>
      <c r="D31" s="2"/>
      <c r="E31" s="2"/>
      <c r="F31" s="2"/>
      <c r="G31" s="2"/>
      <c r="H31" s="2"/>
      <c r="I31" s="2"/>
      <c r="J31" s="2"/>
      <c r="K31" s="2"/>
    </row>
    <row r="32" spans="1:13">
      <c r="A32" s="2" t="s">
        <v>31</v>
      </c>
      <c r="B32" s="6">
        <v>27.059799999999999</v>
      </c>
      <c r="C32" s="7">
        <f t="shared" si="0"/>
        <v>0.27059800000000001</v>
      </c>
      <c r="D32" s="2"/>
      <c r="E32" s="2"/>
      <c r="F32" s="2"/>
      <c r="G32" s="2"/>
      <c r="H32" s="2"/>
      <c r="I32" s="2"/>
      <c r="J32" s="2"/>
      <c r="K32" s="2"/>
    </row>
    <row r="33" spans="1:13">
      <c r="A33" s="2" t="s">
        <v>32</v>
      </c>
      <c r="B33" s="6">
        <v>26.518630000000002</v>
      </c>
      <c r="C33" s="7">
        <f t="shared" si="0"/>
        <v>0.26518630000000004</v>
      </c>
      <c r="D33" s="2"/>
      <c r="E33" s="2"/>
      <c r="F33" s="2"/>
      <c r="G33" s="2"/>
      <c r="H33" s="2"/>
      <c r="I33" s="2"/>
      <c r="J33" s="2"/>
      <c r="K33" s="2"/>
    </row>
    <row r="34" spans="1:13">
      <c r="A34" s="9" t="s">
        <v>33</v>
      </c>
      <c r="B34" s="10">
        <v>26.064109999999999</v>
      </c>
      <c r="C34" s="7">
        <f t="shared" si="0"/>
        <v>0.26064110000000001</v>
      </c>
      <c r="D34" s="2"/>
      <c r="E34" s="2"/>
      <c r="F34" s="2"/>
      <c r="G34" s="2"/>
      <c r="H34" s="2"/>
      <c r="I34" s="2"/>
      <c r="J34" s="2"/>
      <c r="K34" s="2"/>
    </row>
    <row r="35" spans="1:13">
      <c r="A35" s="2" t="s">
        <v>34</v>
      </c>
      <c r="B35" s="11">
        <v>24.2227</v>
      </c>
      <c r="C35" s="7">
        <f t="shared" si="0"/>
        <v>0.242227</v>
      </c>
      <c r="D35" s="2"/>
      <c r="E35" s="2"/>
      <c r="F35" s="2"/>
      <c r="G35" s="2"/>
      <c r="H35" s="2"/>
      <c r="I35" s="2"/>
      <c r="J35" s="2"/>
      <c r="K35" s="2"/>
    </row>
    <row r="36" spans="1:13">
      <c r="A36" s="2" t="s">
        <v>35</v>
      </c>
      <c r="B36" s="11">
        <v>22.497319999999998</v>
      </c>
      <c r="C36" s="7">
        <f t="shared" si="0"/>
        <v>0.22497319999999998</v>
      </c>
      <c r="D36" s="2"/>
      <c r="E36" s="2"/>
      <c r="F36" s="2"/>
      <c r="G36" s="2"/>
      <c r="H36" s="2"/>
      <c r="I36" s="2"/>
      <c r="J36" s="2"/>
      <c r="K36" s="2"/>
    </row>
    <row r="37" spans="1:13">
      <c r="A37" s="2" t="s">
        <v>36</v>
      </c>
      <c r="B37" s="11">
        <v>21.002790000000001</v>
      </c>
      <c r="C37" s="7">
        <f t="shared" si="0"/>
        <v>0.21002790000000002</v>
      </c>
      <c r="D37" s="2"/>
      <c r="E37" s="2"/>
      <c r="F37" s="2"/>
      <c r="G37" s="2"/>
      <c r="H37" s="2"/>
      <c r="I37" s="2"/>
      <c r="J37" s="2"/>
      <c r="K37" s="2"/>
      <c r="M37" s="8"/>
    </row>
    <row r="38" spans="1:13">
      <c r="A38" s="2"/>
      <c r="B38" s="2"/>
      <c r="C38" s="2"/>
      <c r="D38" s="2"/>
      <c r="E38" s="2"/>
      <c r="F38" s="2"/>
      <c r="G38" s="2"/>
      <c r="H38" s="2"/>
      <c r="I38" s="2"/>
      <c r="J38" s="2"/>
      <c r="K38" s="2"/>
    </row>
    <row r="39" spans="1:13">
      <c r="A39" s="2"/>
      <c r="B39" s="1"/>
      <c r="C39" s="2"/>
      <c r="D39" s="2"/>
      <c r="E39" s="2"/>
      <c r="F39" s="2"/>
      <c r="G39" s="2"/>
      <c r="H39" s="2"/>
      <c r="I39" s="2"/>
      <c r="J39" s="2"/>
      <c r="K39" s="2"/>
    </row>
    <row r="40" spans="1:13">
      <c r="A40" s="1" t="s">
        <v>37</v>
      </c>
      <c r="B40" s="62" t="s">
        <v>38</v>
      </c>
      <c r="C40" s="63"/>
      <c r="D40" s="63"/>
      <c r="E40" s="63"/>
      <c r="F40" s="63"/>
      <c r="G40" s="63"/>
      <c r="H40" s="63"/>
      <c r="I40" s="63"/>
      <c r="J40" s="63"/>
      <c r="K40" s="63"/>
    </row>
    <row r="41" spans="1:13">
      <c r="A41" s="1" t="s">
        <v>39</v>
      </c>
      <c r="B41" s="64" t="s">
        <v>40</v>
      </c>
      <c r="C41" s="64"/>
      <c r="D41" s="64"/>
      <c r="E41" s="64"/>
      <c r="F41" s="64"/>
      <c r="G41" s="64"/>
      <c r="H41" s="64"/>
      <c r="I41" s="64"/>
      <c r="J41" s="64"/>
      <c r="K41" s="64"/>
    </row>
    <row r="42" spans="1:13">
      <c r="A42" s="8"/>
      <c r="B42" s="8"/>
    </row>
  </sheetData>
  <mergeCells count="2">
    <mergeCell ref="B40:K40"/>
    <mergeCell ref="B41:K41"/>
  </mergeCells>
  <hyperlinks>
    <hyperlink ref="B40" r:id="rId1" xr:uid="{00000000-0004-0000-0700-000000000000}"/>
    <hyperlink ref="B41:K41" r:id="rId2" display="http://www.taxpolicycenter.org/taxfacts/displayafact.cfm?Docid=307&amp;Topic2id=95" xr:uid="{00000000-0004-0000-0700-000001000000}"/>
    <hyperlink ref="B41" r:id="rId3" xr:uid="{00000000-0004-0000-0700-000002000000}"/>
  </hyperlinks>
  <pageMargins left="0.75" right="0.75" top="1" bottom="1" header="0.5" footer="0.5"/>
  <drawing r:id="rId4"/>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44"/>
  <sheetViews>
    <sheetView zoomScaleNormal="100" workbookViewId="0">
      <selection activeCell="A2" sqref="A2"/>
    </sheetView>
  </sheetViews>
  <sheetFormatPr defaultColWidth="9.125" defaultRowHeight="11.25"/>
  <cols>
    <col min="1" max="16384" width="9.125" style="32"/>
  </cols>
  <sheetData>
    <row r="1" spans="1:5">
      <c r="B1" s="32" t="s">
        <v>107</v>
      </c>
    </row>
    <row r="3" spans="1:5">
      <c r="B3" s="33" t="s">
        <v>108</v>
      </c>
      <c r="C3" s="33"/>
      <c r="D3" s="33"/>
      <c r="E3" s="33"/>
    </row>
    <row r="4" spans="1:5" s="34" customFormat="1" ht="45">
      <c r="A4" s="34" t="s">
        <v>67</v>
      </c>
      <c r="B4" s="34" t="s">
        <v>109</v>
      </c>
      <c r="C4" s="34" t="s">
        <v>110</v>
      </c>
      <c r="D4" s="34" t="s">
        <v>111</v>
      </c>
      <c r="E4" s="34" t="s">
        <v>112</v>
      </c>
    </row>
    <row r="5" spans="1:5">
      <c r="A5" s="32">
        <v>1975</v>
      </c>
      <c r="B5" s="175">
        <v>3.3724907063197027</v>
      </c>
      <c r="C5" s="175">
        <v>1.3115241635687733</v>
      </c>
      <c r="D5" s="175">
        <v>0</v>
      </c>
      <c r="E5" s="175">
        <v>0</v>
      </c>
    </row>
    <row r="6" spans="1:5">
      <c r="A6" s="32">
        <v>1976</v>
      </c>
      <c r="B6" s="175">
        <v>3.1533216168717049</v>
      </c>
      <c r="C6" s="175">
        <v>1.43493848857645</v>
      </c>
      <c r="D6" s="175">
        <v>0</v>
      </c>
      <c r="E6" s="175">
        <v>0</v>
      </c>
    </row>
    <row r="7" spans="1:5">
      <c r="A7" s="32">
        <v>1977</v>
      </c>
      <c r="B7" s="175">
        <v>2.9275247524752475</v>
      </c>
      <c r="C7" s="175">
        <v>0.82170297029702954</v>
      </c>
      <c r="D7" s="175">
        <v>0</v>
      </c>
      <c r="E7" s="175">
        <v>0</v>
      </c>
    </row>
    <row r="8" spans="1:5">
      <c r="A8" s="32">
        <v>1978</v>
      </c>
      <c r="B8" s="175">
        <v>2.4767116564417173</v>
      </c>
      <c r="C8" s="175">
        <v>0.76373006134969323</v>
      </c>
      <c r="D8" s="175">
        <v>0</v>
      </c>
      <c r="E8" s="175">
        <v>0</v>
      </c>
    </row>
    <row r="9" spans="1:5">
      <c r="A9" s="32">
        <v>1979</v>
      </c>
      <c r="B9" s="175">
        <v>3.8737190082644628</v>
      </c>
      <c r="C9" s="175">
        <v>1.8243966942148762</v>
      </c>
      <c r="D9" s="175">
        <v>0</v>
      </c>
      <c r="E9" s="175">
        <v>0</v>
      </c>
    </row>
    <row r="10" spans="1:5">
      <c r="A10" s="32">
        <v>1980</v>
      </c>
      <c r="B10" s="175">
        <v>3.3518446601941743</v>
      </c>
      <c r="C10" s="175">
        <v>1.5071067961165048</v>
      </c>
      <c r="D10" s="175">
        <v>0</v>
      </c>
      <c r="E10" s="175">
        <v>0</v>
      </c>
    </row>
    <row r="11" spans="1:5">
      <c r="A11" s="32">
        <v>1981</v>
      </c>
      <c r="B11" s="175">
        <v>2.8343762376237618</v>
      </c>
      <c r="C11" s="175">
        <v>1.40609900990099</v>
      </c>
      <c r="D11" s="175">
        <v>0</v>
      </c>
      <c r="E11" s="175">
        <v>0</v>
      </c>
    </row>
    <row r="12" spans="1:5">
      <c r="A12" s="32">
        <v>1982</v>
      </c>
      <c r="B12" s="175">
        <v>2.5529036269430052</v>
      </c>
      <c r="C12" s="175">
        <v>1.1552829015544042</v>
      </c>
      <c r="D12" s="175">
        <v>0</v>
      </c>
      <c r="E12" s="175">
        <v>0</v>
      </c>
    </row>
    <row r="13" spans="1:5">
      <c r="A13" s="32">
        <v>1983</v>
      </c>
      <c r="B13" s="175">
        <v>2.6090602409638555</v>
      </c>
      <c r="C13" s="175">
        <v>1.0241927710843375</v>
      </c>
      <c r="D13" s="175">
        <v>0</v>
      </c>
      <c r="E13" s="175">
        <v>0</v>
      </c>
    </row>
    <row r="14" spans="1:5">
      <c r="A14" s="32">
        <v>1984</v>
      </c>
      <c r="B14" s="175">
        <v>2.2546602502406157</v>
      </c>
      <c r="C14" s="175">
        <v>0.92359576515880659</v>
      </c>
      <c r="D14" s="175">
        <v>0</v>
      </c>
      <c r="E14" s="175">
        <v>0</v>
      </c>
    </row>
    <row r="15" spans="1:5">
      <c r="A15" s="32">
        <v>1985</v>
      </c>
      <c r="B15" s="175">
        <v>2.8085353159851301</v>
      </c>
      <c r="C15" s="175">
        <v>1.1035539033457251</v>
      </c>
      <c r="D15" s="175">
        <v>0</v>
      </c>
      <c r="E15" s="175">
        <v>0</v>
      </c>
    </row>
    <row r="16" spans="1:5">
      <c r="A16" s="32">
        <v>1986</v>
      </c>
      <c r="B16" s="175">
        <v>2.720496350364964</v>
      </c>
      <c r="C16" s="175">
        <v>0.974890510948905</v>
      </c>
      <c r="D16" s="175">
        <v>0</v>
      </c>
      <c r="E16" s="175">
        <v>0</v>
      </c>
    </row>
    <row r="17" spans="1:5">
      <c r="A17" s="32">
        <v>1987</v>
      </c>
      <c r="B17" s="175">
        <v>5.199718309859156</v>
      </c>
      <c r="C17" s="175">
        <v>0.81811267605633808</v>
      </c>
      <c r="D17" s="175">
        <v>0</v>
      </c>
      <c r="E17" s="175">
        <v>0</v>
      </c>
    </row>
    <row r="18" spans="1:5">
      <c r="A18" s="32">
        <v>1988</v>
      </c>
      <c r="B18" s="175">
        <v>7.2545325443786979</v>
      </c>
      <c r="C18" s="175">
        <v>2.7930887573964496</v>
      </c>
      <c r="D18" s="175">
        <v>0</v>
      </c>
      <c r="E18" s="175">
        <v>0</v>
      </c>
    </row>
    <row r="19" spans="1:5">
      <c r="A19" s="32">
        <v>1989</v>
      </c>
      <c r="B19" s="175">
        <v>7.5372387096774203</v>
      </c>
      <c r="C19" s="175">
        <v>3.1849548387096775</v>
      </c>
      <c r="D19" s="175">
        <v>0</v>
      </c>
      <c r="E19" s="175">
        <v>0</v>
      </c>
    </row>
    <row r="20" spans="1:5">
      <c r="A20" s="32">
        <v>1990</v>
      </c>
      <c r="B20" s="175">
        <v>8.1226136189747518</v>
      </c>
      <c r="C20" s="175">
        <v>3.5106472838561591</v>
      </c>
      <c r="D20" s="175">
        <v>0</v>
      </c>
      <c r="E20" s="175">
        <v>0</v>
      </c>
    </row>
    <row r="21" spans="1:5">
      <c r="A21" s="32">
        <v>1991</v>
      </c>
      <c r="B21" s="175">
        <v>12.112281938325992</v>
      </c>
      <c r="C21" s="175">
        <v>4.3250748898678424</v>
      </c>
      <c r="D21" s="175">
        <v>0</v>
      </c>
      <c r="E21" s="175">
        <v>0</v>
      </c>
    </row>
    <row r="22" spans="1:5">
      <c r="A22" s="32">
        <v>1992</v>
      </c>
      <c r="B22" s="175">
        <v>14.310295081967212</v>
      </c>
      <c r="C22" s="175">
        <v>4.4099101924447606</v>
      </c>
      <c r="D22" s="175">
        <v>0</v>
      </c>
      <c r="E22" s="175">
        <v>0</v>
      </c>
    </row>
    <row r="23" spans="1:5">
      <c r="A23" s="32">
        <v>1993</v>
      </c>
      <c r="B23" s="175">
        <v>16.780932871972318</v>
      </c>
      <c r="C23" s="175">
        <v>4.8956013840830446</v>
      </c>
      <c r="D23" s="175">
        <v>0</v>
      </c>
      <c r="E23" s="175">
        <v>0</v>
      </c>
    </row>
    <row r="24" spans="1:5">
      <c r="A24" s="32">
        <v>1994</v>
      </c>
      <c r="B24" s="175">
        <v>22.578655870445345</v>
      </c>
      <c r="C24" s="175">
        <v>6.1309797570850204</v>
      </c>
      <c r="D24" s="175">
        <v>0</v>
      </c>
      <c r="E24" s="175">
        <v>0</v>
      </c>
    </row>
    <row r="25" spans="1:5">
      <c r="A25" s="32">
        <v>1995</v>
      </c>
      <c r="B25" s="175">
        <v>27.553322834645666</v>
      </c>
      <c r="C25" s="175">
        <v>6.7821732283464549</v>
      </c>
      <c r="D25" s="175">
        <v>0</v>
      </c>
      <c r="E25" s="175">
        <v>0</v>
      </c>
    </row>
    <row r="26" spans="1:5">
      <c r="A26" s="32">
        <v>1996</v>
      </c>
      <c r="B26" s="175">
        <v>29.754309751434029</v>
      </c>
      <c r="C26" s="175">
        <v>7.2827839388145312</v>
      </c>
      <c r="D26" s="175">
        <v>0</v>
      </c>
      <c r="E26" s="175">
        <v>0</v>
      </c>
    </row>
    <row r="27" spans="1:5">
      <c r="A27" s="32">
        <v>1997</v>
      </c>
      <c r="B27" s="175">
        <v>30.6432</v>
      </c>
      <c r="C27" s="175">
        <v>7.5276560747663552</v>
      </c>
      <c r="D27" s="175">
        <v>0</v>
      </c>
      <c r="E27" s="175">
        <v>0</v>
      </c>
    </row>
    <row r="28" spans="1:5">
      <c r="A28" s="32">
        <v>1998</v>
      </c>
      <c r="B28" s="175">
        <v>33.610306748466257</v>
      </c>
      <c r="C28" s="175">
        <v>6.3881226993865026</v>
      </c>
      <c r="D28" s="175">
        <v>0</v>
      </c>
      <c r="E28" s="175">
        <v>18.72958986993865</v>
      </c>
    </row>
    <row r="29" spans="1:5">
      <c r="A29" s="32">
        <v>1999</v>
      </c>
      <c r="B29" s="175">
        <v>33.403159663865544</v>
      </c>
      <c r="C29" s="175">
        <v>5.1997310924369753</v>
      </c>
      <c r="D29" s="175">
        <v>0.98307710924369762</v>
      </c>
      <c r="E29" s="175">
        <v>23.473966386554622</v>
      </c>
    </row>
    <row r="30" spans="1:5">
      <c r="A30" s="32">
        <v>2000</v>
      </c>
      <c r="B30" s="175">
        <v>32.549853658536584</v>
      </c>
      <c r="C30" s="175">
        <v>5.26009756097561</v>
      </c>
      <c r="D30" s="175">
        <v>1.1445553170731708</v>
      </c>
      <c r="E30" s="175">
        <v>23.05095687804878</v>
      </c>
    </row>
    <row r="31" spans="1:5">
      <c r="A31" s="32">
        <v>2001</v>
      </c>
      <c r="B31" s="175">
        <v>33.060806324110672</v>
      </c>
      <c r="C31" s="175">
        <v>4.9324268774703564</v>
      </c>
      <c r="D31" s="175">
        <v>5.6858678893280636</v>
      </c>
      <c r="E31" s="175">
        <v>25.52981008695652</v>
      </c>
    </row>
    <row r="32" spans="1:5">
      <c r="A32" s="32">
        <v>2002</v>
      </c>
      <c r="B32" s="175">
        <v>37.806443579766537</v>
      </c>
      <c r="C32" s="175">
        <v>5.0002178988326849</v>
      </c>
      <c r="D32" s="175">
        <v>7.1896376031128399</v>
      </c>
      <c r="E32" s="175">
        <v>24.116101354085597</v>
      </c>
    </row>
    <row r="33" spans="1:5">
      <c r="A33" s="32">
        <v>2003</v>
      </c>
      <c r="B33" s="175">
        <v>37.265321739130435</v>
      </c>
      <c r="C33" s="175">
        <v>5.0893043478260873</v>
      </c>
      <c r="D33" s="175">
        <v>9.9843670956521748</v>
      </c>
      <c r="E33" s="175">
        <v>24.967749130434783</v>
      </c>
    </row>
    <row r="34" spans="1:5">
      <c r="A34" s="32">
        <v>2004</v>
      </c>
      <c r="B34" s="175">
        <v>37.673266278454207</v>
      </c>
      <c r="C34" s="175">
        <v>5.0416008470089988</v>
      </c>
      <c r="D34" s="175">
        <v>15.421513130757015</v>
      </c>
      <c r="E34" s="175">
        <v>34.472057850714663</v>
      </c>
    </row>
    <row r="35" spans="1:5">
      <c r="A35" s="32">
        <v>2005</v>
      </c>
      <c r="B35" s="175">
        <v>38.673548387096773</v>
      </c>
      <c r="C35" s="175">
        <v>5.1045161290322572</v>
      </c>
      <c r="D35" s="175">
        <v>15.995003870967739</v>
      </c>
      <c r="E35" s="175">
        <v>33.081414193548383</v>
      </c>
    </row>
    <row r="36" spans="1:5">
      <c r="A36" s="32">
        <v>2006</v>
      </c>
      <c r="B36" s="175">
        <v>39.072222000000004</v>
      </c>
      <c r="C36" s="175">
        <v>5.315343999999997</v>
      </c>
      <c r="D36" s="175">
        <v>16.248888999999998</v>
      </c>
      <c r="E36" s="175">
        <v>31.741550999999998</v>
      </c>
    </row>
    <row r="38" spans="1:5">
      <c r="A38" s="32" t="s">
        <v>113</v>
      </c>
    </row>
    <row r="39" spans="1:5" ht="15" customHeight="1"/>
    <row r="40" spans="1:5" ht="15" customHeight="1"/>
    <row r="41" spans="1:5" ht="11.25" customHeight="1"/>
    <row r="42" spans="1:5" ht="11.25" customHeight="1"/>
    <row r="43" spans="1:5" ht="11.25" customHeight="1"/>
    <row r="44" spans="1:5" ht="11.25" customHeight="1"/>
  </sheetData>
  <pageMargins left="0.75" right="0.75" top="1" bottom="1" header="0.5" footer="0.5"/>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O144"/>
  <sheetViews>
    <sheetView topLeftCell="A6" zoomScale="60" zoomScaleNormal="60" workbookViewId="0">
      <selection activeCell="X26" sqref="X26"/>
    </sheetView>
  </sheetViews>
  <sheetFormatPr defaultColWidth="11.5" defaultRowHeight="12.75"/>
  <cols>
    <col min="1" max="1" width="7.875" style="14" customWidth="1"/>
    <col min="2" max="2" width="10.625" style="14" customWidth="1"/>
    <col min="3" max="3" width="12" style="14" bestFit="1" customWidth="1"/>
    <col min="4" max="6" width="10.625" style="14" customWidth="1"/>
    <col min="7" max="7" width="9.125" style="14" customWidth="1"/>
    <col min="8" max="16384" width="11.5" style="14"/>
  </cols>
  <sheetData>
    <row r="1" spans="1:7">
      <c r="A1" s="65" t="s">
        <v>58</v>
      </c>
      <c r="B1" s="65"/>
      <c r="C1" s="65"/>
      <c r="D1" s="65"/>
      <c r="E1" s="65"/>
      <c r="F1" s="65"/>
      <c r="G1" s="65"/>
    </row>
    <row r="2" spans="1:7">
      <c r="A2" s="65"/>
      <c r="B2" s="65"/>
      <c r="C2" s="65"/>
      <c r="D2" s="65"/>
      <c r="E2" s="65"/>
      <c r="F2" s="65"/>
      <c r="G2" s="65"/>
    </row>
    <row r="4" spans="1:7">
      <c r="A4" s="14" t="s">
        <v>59</v>
      </c>
      <c r="D4" s="14" t="s">
        <v>60</v>
      </c>
    </row>
    <row r="6" spans="1:7">
      <c r="A6" s="14" t="s">
        <v>61</v>
      </c>
    </row>
    <row r="8" spans="1:7">
      <c r="A8" s="15"/>
      <c r="B8" s="15"/>
      <c r="C8" s="15"/>
      <c r="D8" s="15" t="s">
        <v>56</v>
      </c>
      <c r="E8" s="15" t="s">
        <v>62</v>
      </c>
      <c r="F8" s="15"/>
    </row>
    <row r="9" spans="1:7">
      <c r="A9" s="15" t="s">
        <v>63</v>
      </c>
      <c r="B9" s="15" t="s">
        <v>64</v>
      </c>
      <c r="C9" s="15" t="s">
        <v>65</v>
      </c>
      <c r="D9" s="15" t="s">
        <v>66</v>
      </c>
      <c r="E9" s="15" t="s">
        <v>66</v>
      </c>
      <c r="F9" s="15"/>
    </row>
    <row r="10" spans="1:7">
      <c r="A10" s="15" t="s">
        <v>67</v>
      </c>
      <c r="B10" s="15" t="s">
        <v>68</v>
      </c>
      <c r="C10" s="15" t="s">
        <v>69</v>
      </c>
      <c r="D10" s="15" t="s">
        <v>70</v>
      </c>
      <c r="E10" s="15" t="s">
        <v>70</v>
      </c>
      <c r="F10" s="15" t="s">
        <v>71</v>
      </c>
    </row>
    <row r="11" spans="1:7">
      <c r="A11" s="15"/>
      <c r="B11" s="15" t="s">
        <v>72</v>
      </c>
      <c r="C11" s="15" t="s">
        <v>73</v>
      </c>
      <c r="D11" s="15" t="s">
        <v>74</v>
      </c>
      <c r="E11" s="15" t="s">
        <v>75</v>
      </c>
      <c r="F11" s="15" t="s">
        <v>71</v>
      </c>
      <c r="G11" s="15" t="s">
        <v>76</v>
      </c>
    </row>
    <row r="12" spans="1:7">
      <c r="A12" s="15">
        <v>1962</v>
      </c>
      <c r="B12" s="18">
        <v>2.5</v>
      </c>
      <c r="C12" s="18">
        <v>0</v>
      </c>
      <c r="D12" s="18">
        <v>14.8</v>
      </c>
      <c r="E12" s="18">
        <v>17.399999999999999</v>
      </c>
      <c r="F12" s="18">
        <v>17.600000000000001</v>
      </c>
      <c r="G12" s="16" t="s">
        <v>77</v>
      </c>
    </row>
    <row r="13" spans="1:7">
      <c r="A13" s="15">
        <v>1963</v>
      </c>
      <c r="B13" s="18">
        <v>2.6</v>
      </c>
      <c r="C13" s="18">
        <v>0</v>
      </c>
      <c r="D13" s="18">
        <v>14.7</v>
      </c>
      <c r="E13" s="18">
        <v>17.3</v>
      </c>
      <c r="F13" s="18">
        <v>17.7</v>
      </c>
      <c r="G13" s="17"/>
    </row>
    <row r="14" spans="1:7">
      <c r="A14" s="15">
        <v>1964</v>
      </c>
      <c r="B14" s="18">
        <v>2.5</v>
      </c>
      <c r="C14" s="18">
        <v>0</v>
      </c>
      <c r="D14" s="18">
        <v>14</v>
      </c>
      <c r="E14" s="18">
        <v>16.600000000000001</v>
      </c>
      <c r="F14" s="18">
        <v>17.3</v>
      </c>
      <c r="G14" s="17"/>
    </row>
    <row r="15" spans="1:7">
      <c r="A15" s="15">
        <v>1965</v>
      </c>
      <c r="B15" s="18">
        <v>2.6</v>
      </c>
      <c r="C15" s="18">
        <v>0.1</v>
      </c>
      <c r="D15" s="18">
        <v>13.7</v>
      </c>
      <c r="E15" s="18">
        <v>16.3</v>
      </c>
      <c r="F15" s="18">
        <v>17.2</v>
      </c>
      <c r="G15" s="18">
        <v>1965</v>
      </c>
    </row>
    <row r="16" spans="1:7">
      <c r="A16" s="15">
        <v>1966</v>
      </c>
      <c r="B16" s="18">
        <v>2.6</v>
      </c>
      <c r="C16" s="18">
        <v>0.3</v>
      </c>
      <c r="D16" s="18">
        <v>14.4</v>
      </c>
      <c r="E16" s="18">
        <v>17.2</v>
      </c>
      <c r="F16" s="18">
        <v>17.8</v>
      </c>
      <c r="G16" s="17"/>
    </row>
    <row r="17" spans="1:15">
      <c r="A17" s="15">
        <v>1967</v>
      </c>
      <c r="B17" s="18">
        <v>2.6</v>
      </c>
      <c r="C17" s="18">
        <v>0.6</v>
      </c>
      <c r="D17" s="18">
        <v>15.6</v>
      </c>
      <c r="E17" s="18">
        <v>18.8</v>
      </c>
      <c r="F17" s="18">
        <v>18.100000000000001</v>
      </c>
      <c r="G17" s="17"/>
    </row>
    <row r="18" spans="1:15">
      <c r="A18" s="15">
        <v>1968</v>
      </c>
      <c r="B18" s="18">
        <v>2.8</v>
      </c>
      <c r="C18" s="18">
        <v>0.8</v>
      </c>
      <c r="D18" s="18">
        <v>15.1</v>
      </c>
      <c r="E18" s="18">
        <v>18.600000000000001</v>
      </c>
      <c r="F18" s="18">
        <v>18.7</v>
      </c>
      <c r="G18" s="17"/>
    </row>
    <row r="19" spans="1:15">
      <c r="A19" s="15">
        <v>1969</v>
      </c>
      <c r="B19" s="18">
        <v>2.8</v>
      </c>
      <c r="C19" s="18">
        <v>0.8</v>
      </c>
      <c r="D19" s="18">
        <v>14.2</v>
      </c>
      <c r="E19" s="18">
        <v>17.8</v>
      </c>
      <c r="F19" s="18">
        <v>19.3</v>
      </c>
      <c r="G19" s="17"/>
    </row>
    <row r="20" spans="1:15">
      <c r="A20" s="15">
        <v>1970</v>
      </c>
      <c r="B20" s="18">
        <v>3.1</v>
      </c>
      <c r="C20" s="18">
        <v>0.9</v>
      </c>
      <c r="D20" s="18">
        <v>14.1</v>
      </c>
      <c r="E20" s="18">
        <v>18.100000000000001</v>
      </c>
      <c r="F20" s="18">
        <v>18.3</v>
      </c>
      <c r="G20" s="18">
        <v>1970</v>
      </c>
    </row>
    <row r="21" spans="1:15">
      <c r="A21" s="15">
        <v>1971</v>
      </c>
      <c r="B21" s="18">
        <v>3.4</v>
      </c>
      <c r="C21" s="18">
        <v>0.9</v>
      </c>
      <c r="D21" s="18">
        <v>14</v>
      </c>
      <c r="E21" s="18">
        <v>18.3</v>
      </c>
      <c r="F21" s="18">
        <v>17.5</v>
      </c>
      <c r="G21" s="17"/>
    </row>
    <row r="22" spans="1:15">
      <c r="A22" s="15">
        <v>1972</v>
      </c>
      <c r="B22" s="18">
        <v>3.4</v>
      </c>
      <c r="C22" s="18">
        <v>1</v>
      </c>
      <c r="D22" s="18">
        <v>13.4</v>
      </c>
      <c r="E22" s="18">
        <v>17.8</v>
      </c>
      <c r="F22" s="18">
        <v>17.7</v>
      </c>
      <c r="G22" s="17"/>
    </row>
    <row r="23" spans="1:15">
      <c r="A23" s="15">
        <v>1973</v>
      </c>
      <c r="B23" s="18">
        <v>3.8</v>
      </c>
      <c r="C23" s="18">
        <v>1</v>
      </c>
      <c r="D23" s="18">
        <v>12.5</v>
      </c>
      <c r="E23" s="18">
        <v>17.3</v>
      </c>
      <c r="F23" s="18">
        <v>17.899999999999999</v>
      </c>
      <c r="G23" s="17"/>
    </row>
    <row r="24" spans="1:15">
      <c r="A24" s="15">
        <v>1974</v>
      </c>
      <c r="B24" s="18">
        <v>4</v>
      </c>
      <c r="C24" s="18">
        <v>1.1000000000000001</v>
      </c>
      <c r="D24" s="18">
        <v>13.5</v>
      </c>
      <c r="E24" s="18">
        <v>18.600000000000001</v>
      </c>
      <c r="F24" s="18">
        <v>18.100000000000001</v>
      </c>
      <c r="G24" s="17"/>
    </row>
    <row r="25" spans="1:15">
      <c r="A25" s="15">
        <v>1975</v>
      </c>
      <c r="B25" s="18">
        <v>4.2</v>
      </c>
      <c r="C25" s="18">
        <v>1.3</v>
      </c>
      <c r="D25" s="18">
        <v>14.5</v>
      </c>
      <c r="E25" s="18">
        <v>20</v>
      </c>
      <c r="F25" s="18">
        <v>17.600000000000001</v>
      </c>
      <c r="G25" s="18">
        <v>1975</v>
      </c>
    </row>
    <row r="26" spans="1:15">
      <c r="A26" s="15">
        <v>1976</v>
      </c>
      <c r="B26" s="18">
        <v>4.2</v>
      </c>
      <c r="C26" s="18">
        <v>1.4</v>
      </c>
      <c r="D26" s="18">
        <v>14.1</v>
      </c>
      <c r="E26" s="18">
        <v>19.8</v>
      </c>
      <c r="F26" s="18">
        <v>17.899999999999999</v>
      </c>
      <c r="G26" s="17"/>
    </row>
    <row r="27" spans="1:15">
      <c r="A27" s="15">
        <v>1977</v>
      </c>
      <c r="B27" s="18">
        <v>4.2</v>
      </c>
      <c r="C27" s="18">
        <v>1.5</v>
      </c>
      <c r="D27" s="18">
        <v>13.5</v>
      </c>
      <c r="E27" s="18">
        <v>19.2</v>
      </c>
      <c r="F27" s="18">
        <v>18.100000000000001</v>
      </c>
      <c r="G27" s="17"/>
    </row>
    <row r="28" spans="1:15">
      <c r="A28" s="15">
        <v>1978</v>
      </c>
      <c r="B28" s="18">
        <v>4.0999999999999996</v>
      </c>
      <c r="C28" s="18">
        <v>1.5</v>
      </c>
      <c r="D28" s="18">
        <v>13.2</v>
      </c>
      <c r="E28" s="18">
        <v>18.8</v>
      </c>
      <c r="F28" s="18">
        <v>18.100000000000001</v>
      </c>
      <c r="G28" s="17"/>
    </row>
    <row r="29" spans="1:15">
      <c r="A29" s="15">
        <v>1979</v>
      </c>
      <c r="B29" s="18">
        <v>4.0999999999999996</v>
      </c>
      <c r="C29" s="18">
        <v>1.6</v>
      </c>
      <c r="D29" s="18">
        <v>13.1</v>
      </c>
      <c r="E29" s="18">
        <v>18.7</v>
      </c>
      <c r="F29" s="18">
        <v>18.600000000000001</v>
      </c>
      <c r="G29" s="17"/>
      <c r="I29" s="66" t="s">
        <v>78</v>
      </c>
      <c r="J29" s="67"/>
      <c r="K29" s="67"/>
      <c r="L29" s="67"/>
      <c r="M29" s="67"/>
      <c r="N29" s="67"/>
      <c r="O29" s="67"/>
    </row>
    <row r="30" spans="1:15">
      <c r="A30" s="15">
        <v>1980</v>
      </c>
      <c r="B30" s="18">
        <v>4.4000000000000004</v>
      </c>
      <c r="C30" s="18">
        <v>1.7</v>
      </c>
      <c r="D30" s="18">
        <v>13.9</v>
      </c>
      <c r="E30" s="18">
        <v>19.899999999999999</v>
      </c>
      <c r="F30" s="18">
        <v>19.3</v>
      </c>
      <c r="G30" s="18">
        <v>1980</v>
      </c>
      <c r="I30" s="67"/>
      <c r="J30" s="67"/>
      <c r="K30" s="67"/>
      <c r="L30" s="67"/>
      <c r="M30" s="67"/>
      <c r="N30" s="67"/>
      <c r="O30" s="67"/>
    </row>
    <row r="31" spans="1:15">
      <c r="A31" s="15">
        <v>1981</v>
      </c>
      <c r="B31" s="18">
        <v>4.5999999999999996</v>
      </c>
      <c r="C31" s="18">
        <v>1.8</v>
      </c>
      <c r="D31" s="18">
        <v>13.5</v>
      </c>
      <c r="E31" s="18">
        <v>19.899999999999999</v>
      </c>
      <c r="F31" s="18">
        <v>19.3</v>
      </c>
      <c r="G31" s="17"/>
      <c r="I31" s="67"/>
      <c r="J31" s="67"/>
      <c r="K31" s="67"/>
      <c r="L31" s="67"/>
      <c r="M31" s="67"/>
      <c r="N31" s="67"/>
      <c r="O31" s="67"/>
    </row>
    <row r="32" spans="1:15">
      <c r="A32" s="15">
        <v>1982</v>
      </c>
      <c r="B32" s="18">
        <v>4.9000000000000004</v>
      </c>
      <c r="C32" s="18">
        <v>2</v>
      </c>
      <c r="D32" s="18">
        <v>13.9</v>
      </c>
      <c r="E32" s="18">
        <v>20.8</v>
      </c>
      <c r="F32" s="18">
        <v>18.899999999999999</v>
      </c>
      <c r="G32" s="17"/>
    </row>
    <row r="33" spans="1:7">
      <c r="A33" s="15">
        <v>1983</v>
      </c>
      <c r="B33" s="18">
        <v>4.8</v>
      </c>
      <c r="C33" s="18">
        <v>2</v>
      </c>
      <c r="D33" s="18">
        <v>13.6</v>
      </c>
      <c r="E33" s="18">
        <v>20.399999999999999</v>
      </c>
      <c r="F33" s="18">
        <v>17.5</v>
      </c>
      <c r="G33" s="17"/>
    </row>
    <row r="34" spans="1:7">
      <c r="A34" s="15">
        <v>1984</v>
      </c>
      <c r="B34" s="18">
        <v>4.5</v>
      </c>
      <c r="C34" s="18">
        <v>2</v>
      </c>
      <c r="D34" s="18">
        <v>12.8</v>
      </c>
      <c r="E34" s="18">
        <v>19.3</v>
      </c>
      <c r="F34" s="18">
        <v>17.399999999999999</v>
      </c>
      <c r="G34" s="17"/>
    </row>
    <row r="35" spans="1:7">
      <c r="A35" s="15">
        <v>1985</v>
      </c>
      <c r="B35" s="18">
        <v>4.5</v>
      </c>
      <c r="C35" s="18">
        <v>2.1</v>
      </c>
      <c r="D35" s="18">
        <v>13</v>
      </c>
      <c r="E35" s="18">
        <v>19.600000000000001</v>
      </c>
      <c r="F35" s="18">
        <v>17.600000000000001</v>
      </c>
      <c r="G35" s="18">
        <v>1985</v>
      </c>
    </row>
    <row r="36" spans="1:7">
      <c r="A36" s="15">
        <v>1986</v>
      </c>
      <c r="B36" s="18">
        <v>4.5</v>
      </c>
      <c r="C36" s="18">
        <v>2.1</v>
      </c>
      <c r="D36" s="18">
        <v>12.6</v>
      </c>
      <c r="E36" s="18">
        <v>19.2</v>
      </c>
      <c r="F36" s="18">
        <v>17.7</v>
      </c>
      <c r="G36" s="17"/>
    </row>
    <row r="37" spans="1:7">
      <c r="A37" s="15">
        <v>1987</v>
      </c>
      <c r="B37" s="18">
        <v>4.4000000000000004</v>
      </c>
      <c r="C37" s="18">
        <v>2.2000000000000002</v>
      </c>
      <c r="D37" s="18">
        <v>12</v>
      </c>
      <c r="E37" s="18">
        <v>18.5</v>
      </c>
      <c r="F37" s="18">
        <v>18.3</v>
      </c>
      <c r="G37" s="17"/>
    </row>
    <row r="38" spans="1:7">
      <c r="A38" s="15">
        <v>1988</v>
      </c>
      <c r="B38" s="18">
        <v>4.3</v>
      </c>
      <c r="C38" s="18">
        <v>2.2000000000000002</v>
      </c>
      <c r="D38" s="18">
        <v>11.7</v>
      </c>
      <c r="E38" s="18">
        <v>18.2</v>
      </c>
      <c r="F38" s="18">
        <v>18.2</v>
      </c>
      <c r="G38" s="17"/>
    </row>
    <row r="39" spans="1:7">
      <c r="A39" s="15">
        <v>1989</v>
      </c>
      <c r="B39" s="18">
        <v>4.3</v>
      </c>
      <c r="C39" s="18">
        <v>2.2000000000000002</v>
      </c>
      <c r="D39" s="18">
        <v>11.7</v>
      </c>
      <c r="E39" s="18">
        <v>18.2</v>
      </c>
      <c r="F39" s="18">
        <v>18.3</v>
      </c>
      <c r="G39" s="17"/>
    </row>
    <row r="40" spans="1:7">
      <c r="A40" s="15">
        <v>1990</v>
      </c>
      <c r="B40" s="18">
        <v>4.3</v>
      </c>
      <c r="C40" s="18">
        <v>2.4</v>
      </c>
      <c r="D40" s="18">
        <v>11.9</v>
      </c>
      <c r="E40" s="18">
        <v>18.7</v>
      </c>
      <c r="F40" s="18">
        <v>17.899999999999999</v>
      </c>
      <c r="G40" s="18">
        <v>1990</v>
      </c>
    </row>
    <row r="41" spans="1:7">
      <c r="A41" s="15">
        <v>1991</v>
      </c>
      <c r="B41" s="18">
        <v>4.5</v>
      </c>
      <c r="C41" s="18">
        <v>2.7</v>
      </c>
      <c r="D41" s="18">
        <v>11.8</v>
      </c>
      <c r="E41" s="18">
        <v>19.100000000000001</v>
      </c>
      <c r="F41" s="18">
        <v>17.8</v>
      </c>
      <c r="G41" s="17"/>
    </row>
    <row r="42" spans="1:7">
      <c r="A42" s="15">
        <v>1992</v>
      </c>
      <c r="B42" s="18">
        <v>4.5999999999999996</v>
      </c>
      <c r="C42" s="18">
        <v>3</v>
      </c>
      <c r="D42" s="18">
        <v>11.2</v>
      </c>
      <c r="E42" s="18">
        <v>18.8</v>
      </c>
      <c r="F42" s="18">
        <v>17.5</v>
      </c>
      <c r="G42" s="17"/>
    </row>
    <row r="43" spans="1:7">
      <c r="A43" s="15">
        <v>1993</v>
      </c>
      <c r="B43" s="18">
        <v>4.5999999999999996</v>
      </c>
      <c r="C43" s="18">
        <v>3.1</v>
      </c>
      <c r="D43" s="18">
        <v>10.6</v>
      </c>
      <c r="E43" s="18">
        <v>18.399999999999999</v>
      </c>
      <c r="F43" s="18">
        <v>17.7</v>
      </c>
      <c r="G43" s="17"/>
    </row>
    <row r="44" spans="1:7">
      <c r="A44" s="15">
        <v>1994</v>
      </c>
      <c r="B44" s="18">
        <v>4.5</v>
      </c>
      <c r="C44" s="18">
        <v>3.3</v>
      </c>
      <c r="D44" s="18">
        <v>10.1</v>
      </c>
      <c r="E44" s="18">
        <v>17.899999999999999</v>
      </c>
      <c r="F44" s="18">
        <v>18.100000000000001</v>
      </c>
      <c r="G44" s="17"/>
    </row>
    <row r="45" spans="1:7">
      <c r="A45" s="15">
        <v>1995</v>
      </c>
      <c r="B45" s="18">
        <v>4.5999999999999996</v>
      </c>
      <c r="C45" s="18">
        <v>3.4</v>
      </c>
      <c r="D45" s="18">
        <v>9.5</v>
      </c>
      <c r="E45" s="18">
        <v>17.5</v>
      </c>
      <c r="F45" s="18">
        <v>18.600000000000001</v>
      </c>
      <c r="G45" s="18">
        <v>1995</v>
      </c>
    </row>
    <row r="46" spans="1:7">
      <c r="A46" s="15">
        <v>1996</v>
      </c>
      <c r="B46" s="18">
        <v>4.5</v>
      </c>
      <c r="C46" s="18">
        <v>3.5</v>
      </c>
      <c r="D46" s="18">
        <v>9.1</v>
      </c>
      <c r="E46" s="18">
        <v>17</v>
      </c>
      <c r="F46" s="18">
        <v>19</v>
      </c>
      <c r="G46" s="17"/>
    </row>
    <row r="47" spans="1:7">
      <c r="A47" s="15">
        <v>1997</v>
      </c>
      <c r="B47" s="18">
        <v>4.4000000000000004</v>
      </c>
      <c r="C47" s="18">
        <v>3.5</v>
      </c>
      <c r="D47" s="18">
        <v>8.6999999999999993</v>
      </c>
      <c r="E47" s="18">
        <v>16.5</v>
      </c>
      <c r="F47" s="18">
        <v>19.5</v>
      </c>
      <c r="G47" s="17"/>
    </row>
    <row r="48" spans="1:7">
      <c r="A48" s="15">
        <v>1998</v>
      </c>
      <c r="B48" s="18">
        <v>4.3</v>
      </c>
      <c r="C48" s="18">
        <v>3.4</v>
      </c>
      <c r="D48" s="18">
        <v>8.6</v>
      </c>
      <c r="E48" s="18">
        <v>16.3</v>
      </c>
      <c r="F48" s="18">
        <v>20</v>
      </c>
      <c r="G48" s="17"/>
    </row>
    <row r="49" spans="1:7">
      <c r="A49" s="15">
        <v>1999</v>
      </c>
      <c r="B49" s="18">
        <v>4.2</v>
      </c>
      <c r="C49" s="18">
        <v>3.3</v>
      </c>
      <c r="D49" s="18">
        <v>8.6999999999999993</v>
      </c>
      <c r="E49" s="18">
        <v>16.100000000000001</v>
      </c>
      <c r="F49" s="18">
        <v>20.3</v>
      </c>
      <c r="G49" s="17"/>
    </row>
    <row r="50" spans="1:7">
      <c r="A50" s="15">
        <v>2000</v>
      </c>
      <c r="B50" s="18">
        <v>4.2</v>
      </c>
      <c r="C50" s="18">
        <v>3.3</v>
      </c>
      <c r="D50" s="18">
        <v>8.6999999999999993</v>
      </c>
      <c r="E50" s="18">
        <v>16.2</v>
      </c>
      <c r="F50" s="18">
        <v>20.6</v>
      </c>
      <c r="G50" s="18">
        <v>2000</v>
      </c>
    </row>
    <row r="51" spans="1:7">
      <c r="A51" s="15">
        <v>2001</v>
      </c>
      <c r="B51" s="18">
        <v>4.3</v>
      </c>
      <c r="C51" s="18">
        <v>3.4</v>
      </c>
      <c r="D51" s="18">
        <v>9.1</v>
      </c>
      <c r="E51" s="18">
        <v>16.8</v>
      </c>
      <c r="F51" s="18">
        <v>19.3</v>
      </c>
      <c r="G51" s="17"/>
    </row>
    <row r="52" spans="1:7">
      <c r="A52" s="15">
        <v>2002</v>
      </c>
      <c r="B52" s="18">
        <v>4.4000000000000004</v>
      </c>
      <c r="C52" s="18">
        <v>3.6</v>
      </c>
      <c r="D52" s="18">
        <v>10</v>
      </c>
      <c r="E52" s="18">
        <v>18</v>
      </c>
      <c r="F52" s="18">
        <v>17.5</v>
      </c>
      <c r="G52" s="17"/>
    </row>
    <row r="53" spans="1:7">
      <c r="A53" s="15">
        <v>2003</v>
      </c>
      <c r="B53" s="18">
        <v>4.3</v>
      </c>
      <c r="C53" s="18">
        <v>3.7</v>
      </c>
      <c r="D53" s="18">
        <v>10.5</v>
      </c>
      <c r="E53" s="18">
        <v>18.600000000000001</v>
      </c>
      <c r="F53" s="18">
        <v>16.5</v>
      </c>
      <c r="G53" s="17"/>
    </row>
    <row r="54" spans="1:7">
      <c r="A54" s="15">
        <v>2004</v>
      </c>
      <c r="B54" s="18">
        <v>4.2</v>
      </c>
      <c r="C54" s="18">
        <v>3.8</v>
      </c>
      <c r="D54" s="18">
        <v>10.5</v>
      </c>
      <c r="E54" s="18">
        <v>18.5</v>
      </c>
      <c r="F54" s="18">
        <v>16.600000000000001</v>
      </c>
      <c r="G54" s="17"/>
    </row>
    <row r="55" spans="1:7">
      <c r="A55" s="15">
        <v>2005</v>
      </c>
      <c r="B55" s="18">
        <v>4.2</v>
      </c>
      <c r="C55" s="18">
        <v>3.8</v>
      </c>
      <c r="D55" s="18">
        <v>10.6</v>
      </c>
      <c r="E55" s="18">
        <v>18.7</v>
      </c>
      <c r="F55" s="18">
        <v>17.8</v>
      </c>
      <c r="G55" s="18">
        <v>2005</v>
      </c>
    </row>
    <row r="56" spans="1:7">
      <c r="A56" s="15">
        <v>2006</v>
      </c>
      <c r="B56" s="18">
        <v>4.2</v>
      </c>
      <c r="C56" s="18">
        <v>4</v>
      </c>
      <c r="D56" s="18">
        <v>10.3</v>
      </c>
      <c r="E56" s="18">
        <v>18.399999999999999</v>
      </c>
      <c r="F56" s="18">
        <v>18.399999999999999</v>
      </c>
      <c r="G56" s="17"/>
    </row>
    <row r="57" spans="1:7">
      <c r="A57" s="15">
        <v>2007</v>
      </c>
      <c r="B57" s="18">
        <v>4.3</v>
      </c>
      <c r="C57" s="18">
        <v>4.0999999999999996</v>
      </c>
      <c r="D57" s="18">
        <v>9.8000000000000007</v>
      </c>
      <c r="E57" s="18">
        <v>18.100000000000001</v>
      </c>
      <c r="F57" s="18">
        <v>18.899999999999999</v>
      </c>
      <c r="G57" s="17"/>
    </row>
    <row r="58" spans="1:7">
      <c r="A58" s="15">
        <v>2008</v>
      </c>
      <c r="B58" s="18">
        <v>4.3</v>
      </c>
      <c r="C58" s="18">
        <v>4.2</v>
      </c>
      <c r="D58" s="18">
        <v>9.8000000000000007</v>
      </c>
      <c r="E58" s="18">
        <v>18.3</v>
      </c>
      <c r="F58" s="18">
        <v>18.899999999999999</v>
      </c>
      <c r="G58" s="17"/>
    </row>
    <row r="59" spans="1:7">
      <c r="A59" s="15">
        <v>2009</v>
      </c>
      <c r="B59" s="18">
        <v>4.2</v>
      </c>
      <c r="C59" s="18">
        <v>4.3</v>
      </c>
      <c r="D59" s="18">
        <v>9.8000000000000007</v>
      </c>
      <c r="E59" s="18">
        <v>18.399999999999999</v>
      </c>
      <c r="F59" s="18">
        <v>18.600000000000001</v>
      </c>
      <c r="G59" s="17"/>
    </row>
    <row r="60" spans="1:7">
      <c r="A60" s="15">
        <v>2010</v>
      </c>
      <c r="B60" s="18">
        <v>4.3</v>
      </c>
      <c r="C60" s="18">
        <v>4.5</v>
      </c>
      <c r="D60" s="18">
        <v>9.8000000000000007</v>
      </c>
      <c r="E60" s="18">
        <v>18.5</v>
      </c>
      <c r="F60" s="18">
        <v>18.399999999999999</v>
      </c>
      <c r="G60" s="18">
        <v>2010</v>
      </c>
    </row>
    <row r="61" spans="1:7">
      <c r="A61" s="15">
        <v>2011</v>
      </c>
      <c r="B61" s="18">
        <v>4.3</v>
      </c>
      <c r="C61" s="18">
        <v>4.5999999999999996</v>
      </c>
      <c r="D61" s="18">
        <v>9.8000000000000007</v>
      </c>
      <c r="E61" s="18">
        <v>18.7</v>
      </c>
      <c r="F61" s="18">
        <v>18.5</v>
      </c>
      <c r="G61" s="17"/>
    </row>
    <row r="62" spans="1:7">
      <c r="A62" s="15">
        <v>2012</v>
      </c>
      <c r="B62" s="18">
        <v>4.4000000000000004</v>
      </c>
      <c r="C62" s="18">
        <v>4.7</v>
      </c>
      <c r="D62" s="18">
        <v>9.9</v>
      </c>
      <c r="E62" s="18">
        <v>19</v>
      </c>
      <c r="F62" s="18">
        <v>18.399999999999999</v>
      </c>
      <c r="G62" s="17"/>
    </row>
    <row r="63" spans="1:7">
      <c r="A63" s="15">
        <v>2013</v>
      </c>
      <c r="B63" s="18">
        <v>4.5</v>
      </c>
      <c r="C63" s="18">
        <v>4.9000000000000004</v>
      </c>
      <c r="D63" s="18">
        <v>9.9</v>
      </c>
      <c r="E63" s="18">
        <v>19.2</v>
      </c>
      <c r="F63" s="18">
        <v>18.3</v>
      </c>
      <c r="G63" s="17"/>
    </row>
    <row r="64" spans="1:7">
      <c r="A64" s="15">
        <v>2014</v>
      </c>
      <c r="B64" s="18">
        <v>4.5</v>
      </c>
      <c r="C64" s="18">
        <v>5</v>
      </c>
      <c r="D64" s="18">
        <v>9.9</v>
      </c>
      <c r="E64" s="18">
        <v>19.399999999999999</v>
      </c>
      <c r="F64" s="18">
        <v>18.3</v>
      </c>
      <c r="G64" s="17"/>
    </row>
    <row r="65" spans="1:7">
      <c r="A65" s="15">
        <v>2015</v>
      </c>
      <c r="B65" s="18">
        <v>4.5999999999999996</v>
      </c>
      <c r="C65" s="18">
        <v>5.2</v>
      </c>
      <c r="D65" s="18">
        <v>9.9</v>
      </c>
      <c r="E65" s="18">
        <v>19.7</v>
      </c>
      <c r="F65" s="18">
        <v>18.399999999999999</v>
      </c>
      <c r="G65" s="18">
        <v>2015</v>
      </c>
    </row>
    <row r="66" spans="1:7">
      <c r="A66" s="15">
        <v>2016</v>
      </c>
      <c r="B66" s="18">
        <v>4.7</v>
      </c>
      <c r="C66" s="18">
        <v>5.4</v>
      </c>
      <c r="D66" s="18">
        <v>9.9</v>
      </c>
      <c r="E66" s="18">
        <v>20</v>
      </c>
      <c r="F66" s="18">
        <v>18.5</v>
      </c>
      <c r="G66" s="17"/>
    </row>
    <row r="67" spans="1:7">
      <c r="A67" s="15">
        <v>2017</v>
      </c>
      <c r="B67" s="18">
        <v>4.8</v>
      </c>
      <c r="C67" s="18">
        <v>5.6</v>
      </c>
      <c r="D67" s="18">
        <v>9.9</v>
      </c>
      <c r="E67" s="18">
        <v>20.3</v>
      </c>
      <c r="F67" s="18">
        <v>18.5</v>
      </c>
      <c r="G67" s="17"/>
    </row>
    <row r="68" spans="1:7">
      <c r="A68" s="15">
        <v>2018</v>
      </c>
      <c r="B68" s="18">
        <v>4.9000000000000004</v>
      </c>
      <c r="C68" s="18">
        <v>5.7</v>
      </c>
      <c r="D68" s="18">
        <v>9.9</v>
      </c>
      <c r="E68" s="18">
        <v>20.5</v>
      </c>
      <c r="F68" s="18">
        <v>18.5</v>
      </c>
      <c r="G68" s="17"/>
    </row>
    <row r="69" spans="1:7">
      <c r="A69" s="15">
        <v>2019</v>
      </c>
      <c r="B69" s="18">
        <v>5</v>
      </c>
      <c r="C69" s="18">
        <v>5.9</v>
      </c>
      <c r="D69" s="18">
        <v>9.8000000000000007</v>
      </c>
      <c r="E69" s="18">
        <v>20.8</v>
      </c>
      <c r="F69" s="18">
        <v>18.600000000000001</v>
      </c>
      <c r="G69" s="17"/>
    </row>
    <row r="70" spans="1:7">
      <c r="A70" s="15">
        <v>2020</v>
      </c>
      <c r="B70" s="18">
        <v>5.0999999999999996</v>
      </c>
      <c r="C70" s="18">
        <v>6.1</v>
      </c>
      <c r="D70" s="18">
        <v>9.8000000000000007</v>
      </c>
      <c r="E70" s="18">
        <v>21.1</v>
      </c>
      <c r="F70" s="18">
        <v>18.600000000000001</v>
      </c>
      <c r="G70" s="18">
        <v>2020</v>
      </c>
    </row>
    <row r="71" spans="1:7">
      <c r="A71" s="15">
        <v>2021</v>
      </c>
      <c r="B71" s="18">
        <v>5.2</v>
      </c>
      <c r="C71" s="18">
        <v>6.3</v>
      </c>
      <c r="D71" s="18">
        <v>9.8000000000000007</v>
      </c>
      <c r="E71" s="18">
        <v>21.3</v>
      </c>
      <c r="F71" s="18">
        <v>18.600000000000001</v>
      </c>
      <c r="G71" s="17"/>
    </row>
    <row r="72" spans="1:7">
      <c r="A72" s="15">
        <v>2022</v>
      </c>
      <c r="B72" s="18">
        <v>5.4</v>
      </c>
      <c r="C72" s="18">
        <v>6.5</v>
      </c>
      <c r="D72" s="18">
        <v>9.8000000000000007</v>
      </c>
      <c r="E72" s="18">
        <v>21.7</v>
      </c>
      <c r="F72" s="18">
        <v>18.600000000000001</v>
      </c>
      <c r="G72" s="17"/>
    </row>
    <row r="73" spans="1:7">
      <c r="A73" s="15">
        <v>2023</v>
      </c>
      <c r="B73" s="18">
        <v>5.5</v>
      </c>
      <c r="C73" s="18">
        <v>6.7</v>
      </c>
      <c r="D73" s="18">
        <v>9.8000000000000007</v>
      </c>
      <c r="E73" s="18">
        <v>22</v>
      </c>
      <c r="F73" s="18">
        <v>18.7</v>
      </c>
      <c r="G73" s="17"/>
    </row>
    <row r="74" spans="1:7">
      <c r="A74" s="15">
        <v>2024</v>
      </c>
      <c r="B74" s="18">
        <v>5.6</v>
      </c>
      <c r="C74" s="18">
        <v>6.9</v>
      </c>
      <c r="D74" s="18">
        <v>9.8000000000000007</v>
      </c>
      <c r="E74" s="18">
        <v>22.3</v>
      </c>
      <c r="F74" s="18">
        <v>18.600000000000001</v>
      </c>
      <c r="G74" s="17"/>
    </row>
    <row r="75" spans="1:7">
      <c r="A75" s="15">
        <v>2025</v>
      </c>
      <c r="B75" s="18">
        <v>5.7</v>
      </c>
      <c r="C75" s="18">
        <v>7.2</v>
      </c>
      <c r="D75" s="18">
        <v>9.8000000000000007</v>
      </c>
      <c r="E75" s="18">
        <v>22.7</v>
      </c>
      <c r="F75" s="18">
        <v>18.7</v>
      </c>
      <c r="G75" s="18">
        <v>2025</v>
      </c>
    </row>
    <row r="76" spans="1:7">
      <c r="A76" s="15">
        <v>2026</v>
      </c>
      <c r="B76" s="18">
        <v>5.8</v>
      </c>
      <c r="C76" s="18">
        <v>7.4</v>
      </c>
      <c r="D76" s="18">
        <v>9.8000000000000007</v>
      </c>
      <c r="E76" s="18">
        <v>23</v>
      </c>
      <c r="F76" s="18">
        <v>18.7</v>
      </c>
      <c r="G76" s="17"/>
    </row>
    <row r="77" spans="1:7">
      <c r="A77" s="15">
        <v>2027</v>
      </c>
      <c r="B77" s="18">
        <v>5.9</v>
      </c>
      <c r="C77" s="18">
        <v>7.6</v>
      </c>
      <c r="D77" s="18">
        <v>9.8000000000000007</v>
      </c>
      <c r="E77" s="18">
        <v>23.3</v>
      </c>
      <c r="F77" s="18">
        <v>18.7</v>
      </c>
      <c r="G77" s="17"/>
    </row>
    <row r="78" spans="1:7">
      <c r="A78" s="15">
        <v>2028</v>
      </c>
      <c r="B78" s="18">
        <v>6</v>
      </c>
      <c r="C78" s="18">
        <v>7.9</v>
      </c>
      <c r="D78" s="18">
        <v>9.6999999999999993</v>
      </c>
      <c r="E78" s="18">
        <v>23.6</v>
      </c>
      <c r="F78" s="18">
        <v>18.8</v>
      </c>
      <c r="G78" s="17"/>
    </row>
    <row r="79" spans="1:7">
      <c r="A79" s="15">
        <v>2029</v>
      </c>
      <c r="B79" s="18">
        <v>6</v>
      </c>
      <c r="C79" s="18">
        <v>8.1</v>
      </c>
      <c r="D79" s="18">
        <v>9.6999999999999993</v>
      </c>
      <c r="E79" s="18">
        <v>23.9</v>
      </c>
      <c r="F79" s="18">
        <v>18.899999999999999</v>
      </c>
      <c r="G79" s="17"/>
    </row>
    <row r="80" spans="1:7">
      <c r="A80" s="15">
        <v>2030</v>
      </c>
      <c r="B80" s="18">
        <v>6.1</v>
      </c>
      <c r="C80" s="18">
        <v>8.3000000000000007</v>
      </c>
      <c r="D80" s="18">
        <v>9.8000000000000007</v>
      </c>
      <c r="E80" s="18">
        <v>24.2</v>
      </c>
      <c r="F80" s="18">
        <v>18.899999999999999</v>
      </c>
      <c r="G80" s="18">
        <v>2030</v>
      </c>
    </row>
    <row r="81" spans="2:6">
      <c r="B81" s="19"/>
      <c r="C81" s="19"/>
      <c r="D81" s="19"/>
      <c r="E81" s="19"/>
      <c r="F81" s="19"/>
    </row>
    <row r="82" spans="2:6">
      <c r="B82" s="19"/>
      <c r="C82" s="19"/>
      <c r="D82" s="19"/>
      <c r="E82" s="19"/>
      <c r="F82" s="19"/>
    </row>
    <row r="83" spans="2:6">
      <c r="B83" s="19"/>
      <c r="C83" s="19"/>
      <c r="D83" s="19"/>
      <c r="E83" s="19"/>
      <c r="F83" s="19"/>
    </row>
    <row r="84" spans="2:6">
      <c r="B84" s="19"/>
      <c r="C84" s="19"/>
      <c r="D84" s="19"/>
      <c r="E84" s="19"/>
      <c r="F84" s="19"/>
    </row>
    <row r="85" spans="2:6">
      <c r="B85" s="19"/>
      <c r="C85" s="19"/>
      <c r="D85" s="19"/>
      <c r="E85" s="19"/>
      <c r="F85" s="19"/>
    </row>
    <row r="86" spans="2:6">
      <c r="B86" s="19"/>
      <c r="C86" s="19"/>
      <c r="D86" s="19"/>
      <c r="E86" s="19"/>
      <c r="F86" s="19"/>
    </row>
    <row r="87" spans="2:6">
      <c r="B87" s="19"/>
      <c r="C87" s="19"/>
      <c r="D87" s="19"/>
      <c r="E87" s="19"/>
      <c r="F87" s="19"/>
    </row>
    <row r="88" spans="2:6">
      <c r="B88" s="19"/>
      <c r="C88" s="19"/>
      <c r="D88" s="19"/>
      <c r="E88" s="19"/>
      <c r="F88" s="19"/>
    </row>
    <row r="89" spans="2:6">
      <c r="B89" s="19"/>
      <c r="C89" s="19"/>
      <c r="D89" s="19"/>
      <c r="E89" s="19"/>
      <c r="F89" s="19"/>
    </row>
    <row r="90" spans="2:6">
      <c r="B90" s="19"/>
      <c r="C90" s="19"/>
      <c r="D90" s="19"/>
      <c r="E90" s="19"/>
      <c r="F90" s="19"/>
    </row>
    <row r="91" spans="2:6">
      <c r="B91" s="19"/>
      <c r="C91" s="19"/>
      <c r="D91" s="19"/>
      <c r="E91" s="19"/>
      <c r="F91" s="19"/>
    </row>
    <row r="92" spans="2:6">
      <c r="B92" s="19"/>
      <c r="C92" s="19"/>
      <c r="D92" s="19"/>
      <c r="E92" s="19"/>
      <c r="F92" s="19"/>
    </row>
    <row r="93" spans="2:6">
      <c r="B93" s="19"/>
      <c r="C93" s="19"/>
      <c r="D93" s="19"/>
      <c r="E93" s="19"/>
      <c r="F93" s="19"/>
    </row>
    <row r="94" spans="2:6">
      <c r="B94" s="19"/>
      <c r="C94" s="19"/>
      <c r="D94" s="19"/>
      <c r="E94" s="19"/>
      <c r="F94" s="19"/>
    </row>
    <row r="95" spans="2:6">
      <c r="B95" s="19"/>
      <c r="C95" s="19"/>
      <c r="D95" s="19"/>
      <c r="E95" s="19"/>
      <c r="F95" s="19"/>
    </row>
    <row r="96" spans="2:6">
      <c r="B96" s="19"/>
      <c r="C96" s="19"/>
      <c r="D96" s="19"/>
      <c r="E96" s="19"/>
      <c r="F96" s="19"/>
    </row>
    <row r="97" spans="2:6">
      <c r="B97" s="19"/>
      <c r="C97" s="19"/>
      <c r="D97" s="19"/>
      <c r="E97" s="19"/>
      <c r="F97" s="19"/>
    </row>
    <row r="98" spans="2:6">
      <c r="B98" s="19"/>
      <c r="C98" s="19"/>
      <c r="D98" s="19"/>
      <c r="E98" s="19"/>
      <c r="F98" s="19"/>
    </row>
    <row r="99" spans="2:6">
      <c r="B99" s="19"/>
      <c r="C99" s="19"/>
      <c r="D99" s="19"/>
      <c r="E99" s="19"/>
      <c r="F99" s="19"/>
    </row>
    <row r="100" spans="2:6">
      <c r="B100" s="19"/>
      <c r="C100" s="19"/>
      <c r="D100" s="19"/>
      <c r="E100" s="19"/>
      <c r="F100" s="19"/>
    </row>
    <row r="101" spans="2:6">
      <c r="B101" s="19"/>
      <c r="C101" s="19"/>
      <c r="D101" s="19"/>
      <c r="E101" s="19"/>
      <c r="F101" s="19"/>
    </row>
    <row r="102" spans="2:6">
      <c r="B102" s="19"/>
      <c r="C102" s="19"/>
      <c r="D102" s="19"/>
      <c r="E102" s="19"/>
      <c r="F102" s="19"/>
    </row>
    <row r="103" spans="2:6">
      <c r="B103" s="19"/>
      <c r="C103" s="19"/>
      <c r="D103" s="19"/>
      <c r="E103" s="19"/>
      <c r="F103" s="19"/>
    </row>
    <row r="104" spans="2:6">
      <c r="B104" s="19"/>
      <c r="C104" s="19"/>
      <c r="D104" s="19"/>
      <c r="E104" s="19"/>
      <c r="F104" s="19"/>
    </row>
    <row r="105" spans="2:6">
      <c r="B105" s="19"/>
      <c r="C105" s="19"/>
      <c r="D105" s="19"/>
      <c r="E105" s="19"/>
      <c r="F105" s="19"/>
    </row>
    <row r="106" spans="2:6">
      <c r="B106" s="19"/>
      <c r="C106" s="19"/>
      <c r="D106" s="19"/>
      <c r="E106" s="19"/>
      <c r="F106" s="19"/>
    </row>
    <row r="107" spans="2:6">
      <c r="B107" s="19"/>
      <c r="C107" s="19"/>
      <c r="D107" s="19"/>
      <c r="E107" s="19"/>
      <c r="F107" s="19"/>
    </row>
    <row r="108" spans="2:6">
      <c r="B108" s="19"/>
      <c r="C108" s="19"/>
      <c r="D108" s="19"/>
      <c r="E108" s="19"/>
      <c r="F108" s="19"/>
    </row>
    <row r="109" spans="2:6" ht="36" customHeight="1"/>
    <row r="110" spans="2:6">
      <c r="B110" s="19"/>
      <c r="C110" s="19"/>
      <c r="D110" s="19"/>
      <c r="E110" s="19"/>
      <c r="F110" s="19"/>
    </row>
    <row r="111" spans="2:6">
      <c r="B111" s="19"/>
      <c r="C111" s="19"/>
      <c r="D111" s="19"/>
      <c r="E111" s="19"/>
      <c r="F111" s="19"/>
    </row>
    <row r="112" spans="2:6">
      <c r="B112" s="19"/>
      <c r="C112" s="19"/>
      <c r="D112" s="19"/>
      <c r="E112" s="19"/>
      <c r="F112" s="19"/>
    </row>
    <row r="113" spans="2:6">
      <c r="D113" s="19"/>
      <c r="E113" s="19"/>
      <c r="F113" s="19"/>
    </row>
    <row r="114" spans="2:6">
      <c r="B114" s="19"/>
      <c r="C114" s="19"/>
      <c r="D114" s="19"/>
      <c r="E114" s="19"/>
      <c r="F114" s="19"/>
    </row>
    <row r="115" spans="2:6">
      <c r="B115" s="19"/>
      <c r="C115" s="19"/>
      <c r="D115" s="19"/>
      <c r="E115" s="19"/>
      <c r="F115" s="19"/>
    </row>
    <row r="116" spans="2:6">
      <c r="B116" s="19"/>
      <c r="C116" s="19"/>
      <c r="D116" s="19"/>
      <c r="E116" s="19"/>
      <c r="F116" s="19"/>
    </row>
    <row r="117" spans="2:6">
      <c r="B117" s="19"/>
      <c r="C117" s="19"/>
      <c r="D117" s="19"/>
      <c r="E117" s="19"/>
      <c r="F117" s="19"/>
    </row>
    <row r="118" spans="2:6">
      <c r="B118" s="19"/>
      <c r="C118" s="19"/>
      <c r="D118" s="19"/>
      <c r="E118" s="19"/>
      <c r="F118" s="19"/>
    </row>
    <row r="119" spans="2:6">
      <c r="B119" s="19"/>
      <c r="C119" s="19"/>
      <c r="D119" s="19"/>
      <c r="E119" s="19"/>
      <c r="F119" s="19"/>
    </row>
    <row r="120" spans="2:6">
      <c r="B120" s="19"/>
      <c r="C120" s="19"/>
      <c r="D120" s="19"/>
      <c r="E120" s="19"/>
      <c r="F120" s="19"/>
    </row>
    <row r="121" spans="2:6">
      <c r="B121" s="19"/>
      <c r="C121" s="19"/>
      <c r="D121" s="19"/>
      <c r="E121" s="19"/>
      <c r="F121" s="19"/>
    </row>
    <row r="122" spans="2:6">
      <c r="B122" s="19"/>
      <c r="C122" s="19"/>
      <c r="D122" s="19"/>
      <c r="E122" s="19"/>
      <c r="F122" s="19"/>
    </row>
    <row r="123" spans="2:6">
      <c r="B123" s="19"/>
      <c r="C123" s="19"/>
      <c r="D123" s="19"/>
      <c r="E123" s="19"/>
      <c r="F123" s="19"/>
    </row>
    <row r="125" spans="2:6">
      <c r="B125" s="19"/>
      <c r="C125" s="19"/>
      <c r="D125" s="19"/>
      <c r="E125" s="19"/>
      <c r="F125" s="19"/>
    </row>
    <row r="126" spans="2:6">
      <c r="B126" s="19"/>
      <c r="C126" s="19"/>
      <c r="D126" s="19"/>
      <c r="E126" s="19"/>
      <c r="F126" s="19"/>
    </row>
    <row r="127" spans="2:6">
      <c r="B127" s="19"/>
      <c r="C127" s="19"/>
      <c r="D127" s="19"/>
      <c r="E127" s="19"/>
      <c r="F127" s="19"/>
    </row>
    <row r="128" spans="2:6">
      <c r="B128" s="19"/>
      <c r="C128" s="19"/>
      <c r="D128" s="19"/>
      <c r="E128" s="19"/>
      <c r="F128" s="19"/>
    </row>
    <row r="129" spans="2:6">
      <c r="B129" s="19"/>
      <c r="C129" s="19"/>
      <c r="D129" s="19"/>
      <c r="E129" s="19"/>
      <c r="F129" s="19"/>
    </row>
    <row r="130" spans="2:6">
      <c r="B130" s="19"/>
      <c r="C130" s="19"/>
      <c r="D130" s="19"/>
      <c r="E130" s="19"/>
      <c r="F130" s="19"/>
    </row>
    <row r="131" spans="2:6">
      <c r="B131" s="19"/>
      <c r="C131" s="19"/>
      <c r="D131" s="19"/>
      <c r="E131" s="19"/>
      <c r="F131" s="19"/>
    </row>
    <row r="132" spans="2:6">
      <c r="B132" s="19"/>
      <c r="C132" s="19"/>
      <c r="D132" s="19"/>
      <c r="E132" s="19"/>
      <c r="F132" s="19"/>
    </row>
    <row r="133" spans="2:6">
      <c r="B133" s="19"/>
      <c r="C133" s="19"/>
      <c r="D133" s="19"/>
      <c r="E133" s="19"/>
      <c r="F133" s="19"/>
    </row>
    <row r="134" spans="2:6">
      <c r="B134" s="19"/>
      <c r="C134" s="19"/>
      <c r="D134" s="19"/>
      <c r="E134" s="19"/>
      <c r="F134" s="19"/>
    </row>
    <row r="135" spans="2:6">
      <c r="B135" s="19"/>
      <c r="C135" s="19"/>
      <c r="D135" s="19"/>
      <c r="E135" s="19"/>
      <c r="F135" s="19"/>
    </row>
    <row r="136" spans="2:6">
      <c r="B136" s="19"/>
      <c r="C136" s="19"/>
      <c r="D136" s="19"/>
      <c r="E136" s="19"/>
      <c r="F136" s="19"/>
    </row>
    <row r="137" spans="2:6">
      <c r="B137" s="19"/>
      <c r="C137" s="19"/>
      <c r="D137" s="19"/>
      <c r="E137" s="19"/>
      <c r="F137" s="19"/>
    </row>
    <row r="138" spans="2:6">
      <c r="B138" s="19"/>
      <c r="C138" s="19"/>
      <c r="D138" s="19"/>
      <c r="E138" s="19"/>
      <c r="F138" s="19"/>
    </row>
    <row r="139" spans="2:6">
      <c r="B139" s="19"/>
      <c r="C139" s="19"/>
      <c r="D139" s="19"/>
      <c r="E139" s="19"/>
      <c r="F139" s="19"/>
    </row>
    <row r="140" spans="2:6">
      <c r="B140" s="19"/>
      <c r="C140" s="19"/>
      <c r="D140" s="19"/>
      <c r="E140" s="19"/>
      <c r="F140" s="19"/>
    </row>
    <row r="141" spans="2:6">
      <c r="B141" s="19"/>
      <c r="C141" s="19"/>
      <c r="D141" s="19"/>
      <c r="E141" s="19"/>
      <c r="F141" s="19"/>
    </row>
    <row r="142" spans="2:6">
      <c r="B142" s="19"/>
      <c r="C142" s="19"/>
      <c r="D142" s="19"/>
      <c r="E142" s="19"/>
      <c r="F142" s="19"/>
    </row>
    <row r="143" spans="2:6">
      <c r="B143" s="19"/>
      <c r="C143" s="19"/>
      <c r="D143" s="19"/>
      <c r="E143" s="19"/>
      <c r="F143" s="19"/>
    </row>
    <row r="144" spans="2:6">
      <c r="B144" s="19"/>
      <c r="C144" s="19"/>
      <c r="D144" s="19"/>
      <c r="E144" s="19"/>
      <c r="F144" s="19"/>
    </row>
  </sheetData>
  <mergeCells count="2">
    <mergeCell ref="A1:G2"/>
    <mergeCell ref="I29:O31"/>
  </mergeCells>
  <pageMargins left="0.75" right="0.75" top="1" bottom="1" header="0.5" footer="0.5"/>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5"/>
  <sheetViews>
    <sheetView zoomScale="80" zoomScaleNormal="80" workbookViewId="0">
      <selection activeCell="L35" sqref="L35"/>
    </sheetView>
  </sheetViews>
  <sheetFormatPr defaultColWidth="8.875" defaultRowHeight="15"/>
  <cols>
    <col min="1" max="1" width="12" style="12" customWidth="1"/>
    <col min="2" max="2" width="22.625" style="12" bestFit="1" customWidth="1"/>
    <col min="3" max="3" width="24.5" style="12" bestFit="1" customWidth="1"/>
    <col min="4" max="4" width="12.5" style="12" bestFit="1" customWidth="1"/>
    <col min="5" max="5" width="11.875" style="12" bestFit="1" customWidth="1"/>
    <col min="6" max="6" width="8" style="12" customWidth="1"/>
    <col min="7" max="16384" width="8.875" style="12"/>
  </cols>
  <sheetData>
    <row r="1" spans="1:6">
      <c r="A1" s="12" t="s">
        <v>54</v>
      </c>
    </row>
    <row r="3" spans="1:6">
      <c r="A3" s="12" t="s">
        <v>55</v>
      </c>
      <c r="B3" s="12" t="s">
        <v>171</v>
      </c>
      <c r="C3" s="12" t="s">
        <v>172</v>
      </c>
      <c r="D3" s="12" t="s">
        <v>173</v>
      </c>
      <c r="E3" s="12" t="s">
        <v>174</v>
      </c>
      <c r="F3" s="12" t="s">
        <v>56</v>
      </c>
    </row>
    <row r="4" spans="1:6">
      <c r="A4" s="12">
        <v>1950</v>
      </c>
      <c r="B4" s="13">
        <v>0.39900000000000002</v>
      </c>
      <c r="C4" s="13">
        <v>0.26500000000000001</v>
      </c>
      <c r="D4" s="13">
        <v>0.11</v>
      </c>
      <c r="E4" s="13">
        <v>0.191</v>
      </c>
      <c r="F4" s="13">
        <v>3.4000000000000002E-2</v>
      </c>
    </row>
    <row r="5" spans="1:6">
      <c r="A5" s="12">
        <v>1951</v>
      </c>
      <c r="B5" s="13">
        <v>0.41899999999999998</v>
      </c>
      <c r="C5" s="13">
        <v>0.27300000000000002</v>
      </c>
      <c r="D5" s="13">
        <v>0.11</v>
      </c>
      <c r="E5" s="13">
        <v>0.16800000000000001</v>
      </c>
      <c r="F5" s="13">
        <v>3.1E-2</v>
      </c>
    </row>
    <row r="6" spans="1:6">
      <c r="A6" s="12">
        <v>1952</v>
      </c>
      <c r="B6" s="13">
        <v>0.42199999999999999</v>
      </c>
      <c r="C6" s="13">
        <v>0.32100000000000001</v>
      </c>
      <c r="D6" s="13">
        <v>9.7000000000000003E-2</v>
      </c>
      <c r="E6" s="13">
        <v>0.13400000000000001</v>
      </c>
      <c r="F6" s="13">
        <v>2.5999999999999999E-2</v>
      </c>
    </row>
    <row r="7" spans="1:6">
      <c r="A7" s="12">
        <v>1953</v>
      </c>
      <c r="B7" s="13">
        <v>0.42799999999999999</v>
      </c>
      <c r="C7" s="13">
        <v>0.30499999999999999</v>
      </c>
      <c r="D7" s="13">
        <v>9.8000000000000004E-2</v>
      </c>
      <c r="E7" s="13">
        <v>0.14199999999999999</v>
      </c>
      <c r="F7" s="13">
        <v>2.7E-2</v>
      </c>
    </row>
    <row r="8" spans="1:6">
      <c r="A8" s="12">
        <v>1954</v>
      </c>
      <c r="B8" s="13">
        <v>0.42399999999999999</v>
      </c>
      <c r="C8" s="13">
        <v>0.30299999999999999</v>
      </c>
      <c r="D8" s="13">
        <v>0.10299999999999999</v>
      </c>
      <c r="E8" s="13">
        <v>0.14299999999999999</v>
      </c>
      <c r="F8" s="13">
        <v>2.7E-2</v>
      </c>
    </row>
    <row r="9" spans="1:6">
      <c r="A9" s="12">
        <v>1955</v>
      </c>
      <c r="B9" s="13">
        <v>0.439</v>
      </c>
      <c r="C9" s="13">
        <v>0.27300000000000002</v>
      </c>
      <c r="D9" s="13">
        <v>0.12</v>
      </c>
      <c r="E9" s="13">
        <v>0.14000000000000001</v>
      </c>
      <c r="F9" s="13">
        <v>2.8000000000000001E-2</v>
      </c>
    </row>
    <row r="10" spans="1:6">
      <c r="A10" s="12">
        <v>1956</v>
      </c>
      <c r="B10" s="13">
        <v>0.432</v>
      </c>
      <c r="C10" s="13">
        <v>0.28000000000000003</v>
      </c>
      <c r="D10" s="13">
        <v>0.125</v>
      </c>
      <c r="E10" s="13">
        <v>0.13300000000000001</v>
      </c>
      <c r="F10" s="13">
        <v>0.03</v>
      </c>
    </row>
    <row r="11" spans="1:6">
      <c r="A11" s="12">
        <v>1957</v>
      </c>
      <c r="B11" s="13">
        <v>0.44500000000000001</v>
      </c>
      <c r="C11" s="13">
        <v>0.26500000000000001</v>
      </c>
      <c r="D11" s="13">
        <v>0.125</v>
      </c>
      <c r="E11" s="13">
        <v>0.13200000000000001</v>
      </c>
      <c r="F11" s="13">
        <v>3.3000000000000002E-2</v>
      </c>
    </row>
    <row r="12" spans="1:6">
      <c r="A12" s="12">
        <v>1958</v>
      </c>
      <c r="B12" s="13">
        <v>0.436</v>
      </c>
      <c r="C12" s="13">
        <v>0.252</v>
      </c>
      <c r="D12" s="13">
        <v>0.14099999999999999</v>
      </c>
      <c r="E12" s="13">
        <v>0.13400000000000001</v>
      </c>
      <c r="F12" s="13">
        <v>3.6999999999999998E-2</v>
      </c>
    </row>
    <row r="13" spans="1:6">
      <c r="A13" s="12">
        <v>1959</v>
      </c>
      <c r="B13" s="13">
        <v>0.46300000000000002</v>
      </c>
      <c r="C13" s="13">
        <v>0.218</v>
      </c>
      <c r="D13" s="13">
        <v>0.14799999999999999</v>
      </c>
      <c r="E13" s="13">
        <v>0.13300000000000001</v>
      </c>
      <c r="F13" s="13">
        <v>3.6999999999999998E-2</v>
      </c>
    </row>
    <row r="14" spans="1:6">
      <c r="A14" s="12">
        <v>1960</v>
      </c>
      <c r="B14" s="13">
        <v>0.44</v>
      </c>
      <c r="C14" s="13">
        <v>0.23200000000000001</v>
      </c>
      <c r="D14" s="13">
        <v>0.159</v>
      </c>
      <c r="E14" s="13">
        <v>0.126</v>
      </c>
      <c r="F14" s="13">
        <v>4.2000000000000003E-2</v>
      </c>
    </row>
    <row r="15" spans="1:6">
      <c r="A15" s="12">
        <v>1961</v>
      </c>
      <c r="B15" s="13">
        <v>0.438</v>
      </c>
      <c r="C15" s="13">
        <v>0.222</v>
      </c>
      <c r="D15" s="13">
        <v>0.17399999999999999</v>
      </c>
      <c r="E15" s="13">
        <v>0.126</v>
      </c>
      <c r="F15" s="13">
        <v>0.04</v>
      </c>
    </row>
    <row r="16" spans="1:6">
      <c r="A16" s="12">
        <v>1962</v>
      </c>
      <c r="B16" s="13">
        <v>0.45700000000000002</v>
      </c>
      <c r="C16" s="13">
        <v>0.20599999999999999</v>
      </c>
      <c r="D16" s="13">
        <v>0.17100000000000001</v>
      </c>
      <c r="E16" s="13">
        <v>0.126</v>
      </c>
      <c r="F16" s="13">
        <v>0.04</v>
      </c>
    </row>
    <row r="17" spans="1:6">
      <c r="A17" s="12">
        <v>1963</v>
      </c>
      <c r="B17" s="13">
        <v>0.44700000000000001</v>
      </c>
      <c r="C17" s="13">
        <v>0.20300000000000001</v>
      </c>
      <c r="D17" s="13">
        <v>0.186</v>
      </c>
      <c r="E17" s="13">
        <v>0.124</v>
      </c>
      <c r="F17" s="13">
        <v>4.1000000000000002E-2</v>
      </c>
    </row>
    <row r="18" spans="1:6">
      <c r="A18" s="12">
        <v>1964</v>
      </c>
      <c r="B18" s="13">
        <v>0.432</v>
      </c>
      <c r="C18" s="13">
        <v>0.20899999999999999</v>
      </c>
      <c r="D18" s="13">
        <v>0.19500000000000001</v>
      </c>
      <c r="E18" s="13">
        <v>0.122</v>
      </c>
      <c r="F18" s="13">
        <v>4.2000000000000003E-2</v>
      </c>
    </row>
    <row r="19" spans="1:6">
      <c r="A19" s="12">
        <v>1965</v>
      </c>
      <c r="B19" s="13">
        <v>0.41799999999999998</v>
      </c>
      <c r="C19" s="13">
        <v>0.218</v>
      </c>
      <c r="D19" s="13">
        <v>0.19</v>
      </c>
      <c r="E19" s="13">
        <v>0.125</v>
      </c>
      <c r="F19" s="13">
        <v>4.9000000000000002E-2</v>
      </c>
    </row>
    <row r="20" spans="1:6">
      <c r="A20" s="12">
        <v>1966</v>
      </c>
      <c r="B20" s="13">
        <v>0.42399999999999999</v>
      </c>
      <c r="C20" s="13">
        <v>0.23</v>
      </c>
      <c r="D20" s="13">
        <v>0.19500000000000001</v>
      </c>
      <c r="E20" s="13">
        <v>0.1</v>
      </c>
      <c r="F20" s="13">
        <v>5.0999999999999997E-2</v>
      </c>
    </row>
    <row r="21" spans="1:6">
      <c r="A21" s="12">
        <v>1967</v>
      </c>
      <c r="B21" s="13">
        <v>0.41299999999999998</v>
      </c>
      <c r="C21" s="13">
        <v>0.22800000000000001</v>
      </c>
      <c r="D21" s="13">
        <v>0.219</v>
      </c>
      <c r="E21" s="13">
        <v>9.1999999999999998E-2</v>
      </c>
      <c r="F21" s="13">
        <v>4.7E-2</v>
      </c>
    </row>
    <row r="22" spans="1:6">
      <c r="A22" s="12">
        <v>1968</v>
      </c>
      <c r="B22" s="13">
        <v>0.44900000000000001</v>
      </c>
      <c r="C22" s="13">
        <v>0.187</v>
      </c>
      <c r="D22" s="13">
        <v>0.222</v>
      </c>
      <c r="E22" s="13">
        <v>9.1999999999999998E-2</v>
      </c>
      <c r="F22" s="13">
        <v>0.05</v>
      </c>
    </row>
    <row r="23" spans="1:6">
      <c r="A23" s="12">
        <v>1969</v>
      </c>
      <c r="B23" s="13">
        <v>0.46700000000000003</v>
      </c>
      <c r="C23" s="13">
        <v>0.19600000000000001</v>
      </c>
      <c r="D23" s="13">
        <v>0.20899999999999999</v>
      </c>
      <c r="E23" s="13">
        <v>8.1000000000000003E-2</v>
      </c>
      <c r="F23" s="13">
        <v>4.7E-2</v>
      </c>
    </row>
    <row r="24" spans="1:6">
      <c r="A24" s="12">
        <v>1970</v>
      </c>
      <c r="B24" s="13">
        <v>0.46899999999999997</v>
      </c>
      <c r="C24" s="13">
        <v>0.17</v>
      </c>
      <c r="D24" s="13">
        <v>0.23</v>
      </c>
      <c r="E24" s="13">
        <v>8.1000000000000003E-2</v>
      </c>
      <c r="F24" s="13">
        <v>4.9000000000000002E-2</v>
      </c>
    </row>
    <row r="25" spans="1:6">
      <c r="A25" s="12">
        <v>1971</v>
      </c>
      <c r="B25" s="13">
        <v>0.46100000000000002</v>
      </c>
      <c r="C25" s="13">
        <v>0.14299999999999999</v>
      </c>
      <c r="D25" s="13">
        <v>0.253</v>
      </c>
      <c r="E25" s="13">
        <v>8.8999999999999996E-2</v>
      </c>
      <c r="F25" s="13">
        <v>5.3999999999999999E-2</v>
      </c>
    </row>
    <row r="26" spans="1:6">
      <c r="A26" s="12">
        <v>1972</v>
      </c>
      <c r="B26" s="13">
        <v>0.45700000000000002</v>
      </c>
      <c r="C26" s="13">
        <v>0.155</v>
      </c>
      <c r="D26" s="13">
        <v>0.254</v>
      </c>
      <c r="E26" s="13">
        <v>7.4999999999999997E-2</v>
      </c>
      <c r="F26" s="13">
        <v>0.06</v>
      </c>
    </row>
    <row r="27" spans="1:6">
      <c r="A27" s="12">
        <v>1973</v>
      </c>
      <c r="B27" s="13">
        <v>0.44700000000000001</v>
      </c>
      <c r="C27" s="13">
        <v>0.157</v>
      </c>
      <c r="D27" s="13">
        <v>0.27300000000000002</v>
      </c>
      <c r="E27" s="13">
        <v>7.0000000000000007E-2</v>
      </c>
      <c r="F27" s="13">
        <v>5.1999999999999998E-2</v>
      </c>
    </row>
    <row r="28" spans="1:6">
      <c r="A28" s="12">
        <v>1974</v>
      </c>
      <c r="B28" s="13">
        <v>0.45200000000000001</v>
      </c>
      <c r="C28" s="13">
        <v>0.14699999999999999</v>
      </c>
      <c r="D28" s="13">
        <v>0.28499999999999998</v>
      </c>
      <c r="E28" s="13">
        <v>6.4000000000000001E-2</v>
      </c>
      <c r="F28" s="13">
        <v>5.1999999999999998E-2</v>
      </c>
    </row>
    <row r="29" spans="1:6">
      <c r="A29" s="12">
        <v>1975</v>
      </c>
      <c r="B29" s="13">
        <v>0.439</v>
      </c>
      <c r="C29" s="13">
        <v>0.14599999999999999</v>
      </c>
      <c r="D29" s="13">
        <v>0.30299999999999999</v>
      </c>
      <c r="E29" s="13">
        <v>5.8999999999999997E-2</v>
      </c>
      <c r="F29" s="13">
        <v>5.3999999999999999E-2</v>
      </c>
    </row>
    <row r="30" spans="1:6">
      <c r="A30" s="12">
        <v>1976</v>
      </c>
      <c r="B30" s="13">
        <v>0.442</v>
      </c>
      <c r="C30" s="13">
        <v>0.13900000000000001</v>
      </c>
      <c r="D30" s="13">
        <v>0.30499999999999999</v>
      </c>
      <c r="E30" s="13">
        <v>5.7000000000000002E-2</v>
      </c>
      <c r="F30" s="13">
        <v>5.8000000000000003E-2</v>
      </c>
    </row>
    <row r="31" spans="1:6">
      <c r="A31" s="12">
        <v>1977</v>
      </c>
      <c r="B31" s="13">
        <v>0.443</v>
      </c>
      <c r="C31" s="13">
        <v>0.154</v>
      </c>
      <c r="D31" s="13">
        <v>0.29899999999999999</v>
      </c>
      <c r="E31" s="13">
        <v>4.9000000000000002E-2</v>
      </c>
      <c r="F31" s="13">
        <v>5.2999999999999999E-2</v>
      </c>
    </row>
    <row r="32" spans="1:6">
      <c r="A32" s="12">
        <v>1978</v>
      </c>
      <c r="B32" s="13">
        <v>0.45300000000000001</v>
      </c>
      <c r="C32" s="13">
        <v>0.15</v>
      </c>
      <c r="D32" s="13">
        <v>0.30299999999999999</v>
      </c>
      <c r="E32" s="13">
        <v>4.5999999999999999E-2</v>
      </c>
      <c r="F32" s="13">
        <v>4.8000000000000001E-2</v>
      </c>
    </row>
    <row r="33" spans="1:6">
      <c r="A33" s="12">
        <v>1979</v>
      </c>
      <c r="B33" s="13">
        <v>0.47</v>
      </c>
      <c r="C33" s="13">
        <v>0.14199999999999999</v>
      </c>
      <c r="D33" s="13">
        <v>0.3</v>
      </c>
      <c r="E33" s="13">
        <v>0.04</v>
      </c>
      <c r="F33" s="13">
        <v>4.8000000000000001E-2</v>
      </c>
    </row>
    <row r="34" spans="1:6">
      <c r="A34" s="12">
        <v>1980</v>
      </c>
      <c r="B34" s="13">
        <v>0.47199999999999998</v>
      </c>
      <c r="C34" s="13">
        <v>0.125</v>
      </c>
      <c r="D34" s="13">
        <v>0.30499999999999999</v>
      </c>
      <c r="E34" s="13">
        <v>4.7E-2</v>
      </c>
      <c r="F34" s="13">
        <v>5.0999999999999997E-2</v>
      </c>
    </row>
    <row r="35" spans="1:6">
      <c r="A35" s="12">
        <v>1981</v>
      </c>
      <c r="B35" s="13">
        <v>0.47699999999999998</v>
      </c>
      <c r="C35" s="13">
        <v>0.10199999999999999</v>
      </c>
      <c r="D35" s="13">
        <v>0.30499999999999999</v>
      </c>
      <c r="E35" s="13">
        <v>6.8000000000000005E-2</v>
      </c>
      <c r="F35" s="13">
        <v>4.8000000000000001E-2</v>
      </c>
    </row>
    <row r="36" spans="1:6">
      <c r="A36" s="12">
        <v>1982</v>
      </c>
      <c r="B36" s="13">
        <v>0.48199999999999998</v>
      </c>
      <c r="C36" s="13">
        <v>0.08</v>
      </c>
      <c r="D36" s="13">
        <v>0.32600000000000001</v>
      </c>
      <c r="E36" s="13">
        <v>5.8999999999999997E-2</v>
      </c>
      <c r="F36" s="13">
        <v>5.2999999999999999E-2</v>
      </c>
    </row>
    <row r="37" spans="1:6">
      <c r="A37" s="12">
        <v>1983</v>
      </c>
      <c r="B37" s="13">
        <v>0.48099999999999998</v>
      </c>
      <c r="C37" s="13">
        <v>6.2E-2</v>
      </c>
      <c r="D37" s="13">
        <v>0.34799999999999998</v>
      </c>
      <c r="E37" s="13">
        <v>5.8999999999999997E-2</v>
      </c>
      <c r="F37" s="13">
        <v>0.05</v>
      </c>
    </row>
    <row r="38" spans="1:6">
      <c r="A38" s="12">
        <v>1984</v>
      </c>
      <c r="B38" s="13">
        <v>0.44800000000000001</v>
      </c>
      <c r="C38" s="13">
        <v>8.5000000000000006E-2</v>
      </c>
      <c r="D38" s="13">
        <v>0.35899999999999999</v>
      </c>
      <c r="E38" s="13">
        <v>5.6000000000000001E-2</v>
      </c>
      <c r="F38" s="13">
        <v>5.1999999999999998E-2</v>
      </c>
    </row>
    <row r="39" spans="1:6">
      <c r="A39" s="12">
        <v>1985</v>
      </c>
      <c r="B39" s="13">
        <v>0.45600000000000002</v>
      </c>
      <c r="C39" s="13">
        <v>8.4000000000000005E-2</v>
      </c>
      <c r="D39" s="13">
        <v>0.36099999999999999</v>
      </c>
      <c r="E39" s="13">
        <v>4.9000000000000002E-2</v>
      </c>
      <c r="F39" s="13">
        <v>0.05</v>
      </c>
    </row>
    <row r="40" spans="1:6">
      <c r="A40" s="12">
        <v>1986</v>
      </c>
      <c r="B40" s="13">
        <v>0.45400000000000001</v>
      </c>
      <c r="C40" s="13">
        <v>8.2000000000000003E-2</v>
      </c>
      <c r="D40" s="13">
        <v>0.36899999999999999</v>
      </c>
      <c r="E40" s="13">
        <v>4.2999999999999997E-2</v>
      </c>
      <c r="F40" s="13">
        <v>5.1999999999999998E-2</v>
      </c>
    </row>
    <row r="41" spans="1:6">
      <c r="A41" s="12">
        <v>1987</v>
      </c>
      <c r="B41" s="13">
        <v>0.46</v>
      </c>
      <c r="C41" s="13">
        <v>9.8000000000000004E-2</v>
      </c>
      <c r="D41" s="13">
        <v>0.35499999999999998</v>
      </c>
      <c r="E41" s="13">
        <v>3.7999999999999999E-2</v>
      </c>
      <c r="F41" s="13">
        <v>4.9000000000000002E-2</v>
      </c>
    </row>
    <row r="42" spans="1:6">
      <c r="A42" s="12">
        <v>1988</v>
      </c>
      <c r="B42" s="13">
        <v>0.441</v>
      </c>
      <c r="C42" s="13">
        <v>0.104</v>
      </c>
      <c r="D42" s="13">
        <v>0.36799999999999999</v>
      </c>
      <c r="E42" s="13">
        <v>3.9E-2</v>
      </c>
      <c r="F42" s="13">
        <v>4.8000000000000001E-2</v>
      </c>
    </row>
    <row r="43" spans="1:6">
      <c r="A43" s="12">
        <v>1989</v>
      </c>
      <c r="B43" s="13">
        <v>0.45</v>
      </c>
      <c r="C43" s="13">
        <v>0.104</v>
      </c>
      <c r="D43" s="13">
        <v>0.36299999999999999</v>
      </c>
      <c r="E43" s="13">
        <v>3.5000000000000003E-2</v>
      </c>
      <c r="F43" s="13">
        <v>4.9000000000000002E-2</v>
      </c>
    </row>
    <row r="44" spans="1:6">
      <c r="A44" s="12">
        <v>1990</v>
      </c>
      <c r="B44" s="13">
        <v>0.45200000000000001</v>
      </c>
      <c r="C44" s="13">
        <v>9.0999999999999998E-2</v>
      </c>
      <c r="D44" s="13">
        <v>0.36799999999999999</v>
      </c>
      <c r="E44" s="13">
        <v>3.4000000000000002E-2</v>
      </c>
      <c r="F44" s="13">
        <v>5.3999999999999999E-2</v>
      </c>
    </row>
    <row r="45" spans="1:6">
      <c r="A45" s="12">
        <v>1991</v>
      </c>
      <c r="B45" s="13">
        <v>0.443</v>
      </c>
      <c r="C45" s="13">
        <v>9.2999999999999999E-2</v>
      </c>
      <c r="D45" s="13">
        <v>0.375</v>
      </c>
      <c r="E45" s="13">
        <v>0.04</v>
      </c>
      <c r="F45" s="13">
        <v>4.8000000000000001E-2</v>
      </c>
    </row>
    <row r="46" spans="1:6">
      <c r="A46" s="12">
        <v>1992</v>
      </c>
      <c r="B46" s="13">
        <v>0.436</v>
      </c>
      <c r="C46" s="13">
        <v>9.1999999999999998E-2</v>
      </c>
      <c r="D46" s="13">
        <v>0.379</v>
      </c>
      <c r="E46" s="13">
        <v>4.2000000000000003E-2</v>
      </c>
      <c r="F46" s="13">
        <v>5.0999999999999997E-2</v>
      </c>
    </row>
    <row r="47" spans="1:6">
      <c r="A47" s="12">
        <v>1993</v>
      </c>
      <c r="B47" s="13">
        <v>0.442</v>
      </c>
      <c r="C47" s="13">
        <v>0.10199999999999999</v>
      </c>
      <c r="D47" s="13">
        <v>0.371</v>
      </c>
      <c r="E47" s="13">
        <v>4.2000000000000003E-2</v>
      </c>
      <c r="F47" s="13">
        <v>4.3999999999999997E-2</v>
      </c>
    </row>
    <row r="48" spans="1:6">
      <c r="A48" s="12">
        <v>1994</v>
      </c>
      <c r="B48" s="13">
        <v>0.43099999999999999</v>
      </c>
      <c r="C48" s="13">
        <v>0.112</v>
      </c>
      <c r="D48" s="13">
        <v>0.36699999999999999</v>
      </c>
      <c r="E48" s="13">
        <v>4.3999999999999997E-2</v>
      </c>
      <c r="F48" s="13">
        <v>4.5999999999999999E-2</v>
      </c>
    </row>
    <row r="49" spans="1:6">
      <c r="A49" s="12">
        <v>1995</v>
      </c>
      <c r="B49" s="13">
        <v>0.437</v>
      </c>
      <c r="C49" s="13">
        <v>0.11600000000000001</v>
      </c>
      <c r="D49" s="13">
        <v>0.35799999999999998</v>
      </c>
      <c r="E49" s="13">
        <v>4.2999999999999997E-2</v>
      </c>
      <c r="F49" s="13">
        <v>4.5999999999999999E-2</v>
      </c>
    </row>
    <row r="50" spans="1:6">
      <c r="A50" s="12">
        <v>1996</v>
      </c>
      <c r="B50" s="13">
        <v>0.45200000000000001</v>
      </c>
      <c r="C50" s="13">
        <v>0.11799999999999999</v>
      </c>
      <c r="D50" s="13">
        <v>0.35099999999999998</v>
      </c>
      <c r="E50" s="13">
        <v>3.6999999999999998E-2</v>
      </c>
      <c r="F50" s="13">
        <v>4.2000000000000003E-2</v>
      </c>
    </row>
    <row r="51" spans="1:6">
      <c r="A51" s="12">
        <v>1997</v>
      </c>
      <c r="B51" s="13">
        <v>0.46700000000000003</v>
      </c>
      <c r="C51" s="13">
        <v>0.115</v>
      </c>
      <c r="D51" s="13">
        <v>0.34200000000000003</v>
      </c>
      <c r="E51" s="13">
        <v>3.5999999999999997E-2</v>
      </c>
      <c r="F51" s="13">
        <v>0.04</v>
      </c>
    </row>
    <row r="52" spans="1:6">
      <c r="A52" s="12">
        <v>1998</v>
      </c>
      <c r="B52" s="13">
        <v>0.48099999999999998</v>
      </c>
      <c r="C52" s="13">
        <v>0.11</v>
      </c>
      <c r="D52" s="13">
        <v>0.33200000000000002</v>
      </c>
      <c r="E52" s="13">
        <v>3.3000000000000002E-2</v>
      </c>
      <c r="F52" s="13">
        <v>4.3999999999999997E-2</v>
      </c>
    </row>
    <row r="53" spans="1:6">
      <c r="A53" s="12">
        <v>1999</v>
      </c>
      <c r="B53" s="13">
        <v>0.48099999999999998</v>
      </c>
      <c r="C53" s="13">
        <v>0.10100000000000001</v>
      </c>
      <c r="D53" s="13">
        <v>0.33500000000000002</v>
      </c>
      <c r="E53" s="13">
        <v>3.9E-2</v>
      </c>
      <c r="F53" s="13">
        <v>4.3999999999999997E-2</v>
      </c>
    </row>
    <row r="54" spans="1:6">
      <c r="A54" s="12">
        <v>2000</v>
      </c>
      <c r="B54" s="13">
        <v>0.496</v>
      </c>
      <c r="C54" s="13">
        <v>0.10199999999999999</v>
      </c>
      <c r="D54" s="13">
        <v>0.32200000000000001</v>
      </c>
      <c r="E54" s="13">
        <v>3.4000000000000002E-2</v>
      </c>
      <c r="F54" s="13">
        <v>4.4999999999999998E-2</v>
      </c>
    </row>
    <row r="55" spans="1:6">
      <c r="A55" s="12">
        <v>2001</v>
      </c>
      <c r="B55" s="13">
        <v>0.499</v>
      </c>
      <c r="C55" s="13">
        <v>7.5999999999999998E-2</v>
      </c>
      <c r="D55" s="13">
        <v>0.34899999999999998</v>
      </c>
      <c r="E55" s="13">
        <v>3.3000000000000002E-2</v>
      </c>
      <c r="F55" s="13">
        <v>4.2999999999999997E-2</v>
      </c>
    </row>
    <row r="56" spans="1:6">
      <c r="A56" s="12">
        <v>2002</v>
      </c>
      <c r="B56" s="13">
        <v>0.46300000000000002</v>
      </c>
      <c r="C56" s="13">
        <v>0.08</v>
      </c>
      <c r="D56" s="13">
        <v>0.378</v>
      </c>
      <c r="E56" s="13">
        <v>3.5999999999999997E-2</v>
      </c>
      <c r="F56" s="13">
        <v>4.2999999999999997E-2</v>
      </c>
    </row>
    <row r="57" spans="1:6">
      <c r="A57" s="12">
        <v>2003</v>
      </c>
      <c r="B57" s="13">
        <v>0.44500000000000001</v>
      </c>
      <c r="C57" s="13">
        <v>7.3999999999999996E-2</v>
      </c>
      <c r="D57" s="13">
        <v>0.4</v>
      </c>
      <c r="E57" s="13">
        <v>3.7999999999999999E-2</v>
      </c>
      <c r="F57" s="13">
        <v>4.2999999999999997E-2</v>
      </c>
    </row>
    <row r="58" spans="1:6">
      <c r="A58" s="12">
        <v>2004</v>
      </c>
      <c r="B58" s="13">
        <v>0.43</v>
      </c>
      <c r="C58" s="13">
        <v>0.10100000000000001</v>
      </c>
      <c r="D58" s="13">
        <v>0.39</v>
      </c>
      <c r="E58" s="13">
        <v>3.6999999999999998E-2</v>
      </c>
      <c r="F58" s="13">
        <v>4.2000000000000003E-2</v>
      </c>
    </row>
    <row r="59" spans="1:6">
      <c r="A59" s="12">
        <v>2005</v>
      </c>
      <c r="B59" s="13">
        <v>0.43099999999999999</v>
      </c>
      <c r="C59" s="13">
        <v>0.129</v>
      </c>
      <c r="D59" s="13">
        <v>0.36899999999999999</v>
      </c>
      <c r="E59" s="13">
        <v>3.4000000000000002E-2</v>
      </c>
      <c r="F59" s="13">
        <v>3.7999999999999999E-2</v>
      </c>
    </row>
    <row r="60" spans="1:6">
      <c r="A60" s="12">
        <v>2006</v>
      </c>
      <c r="B60" s="13">
        <v>0.434</v>
      </c>
      <c r="C60" s="13">
        <v>0.14699999999999999</v>
      </c>
      <c r="D60" s="13">
        <v>0.34799999999999998</v>
      </c>
      <c r="E60" s="13">
        <v>3.1E-2</v>
      </c>
      <c r="F60" s="13">
        <v>0.04</v>
      </c>
    </row>
    <row r="61" spans="1:6">
      <c r="A61" s="12">
        <v>2007</v>
      </c>
      <c r="B61" s="13">
        <v>0.45300000000000001</v>
      </c>
      <c r="C61" s="13">
        <v>0.14399999999999999</v>
      </c>
      <c r="D61" s="13">
        <v>0.33900000000000002</v>
      </c>
      <c r="E61" s="13">
        <v>2.5000000000000001E-2</v>
      </c>
      <c r="F61" s="13">
        <v>3.9E-2</v>
      </c>
    </row>
    <row r="62" spans="1:6">
      <c r="A62" s="12">
        <v>2008</v>
      </c>
      <c r="B62" s="13">
        <v>0.45400000000000001</v>
      </c>
      <c r="C62" s="13">
        <v>0.121</v>
      </c>
      <c r="D62" s="13">
        <v>0.35699999999999998</v>
      </c>
      <c r="E62" s="13">
        <v>2.7E-2</v>
      </c>
      <c r="F62" s="13">
        <v>4.2000000000000003E-2</v>
      </c>
    </row>
    <row r="63" spans="1:6">
      <c r="A63" s="12">
        <v>2009</v>
      </c>
      <c r="B63" s="13">
        <v>0.435</v>
      </c>
      <c r="C63" s="13">
        <v>6.6000000000000003E-2</v>
      </c>
      <c r="D63" s="13">
        <v>0.42299999999999999</v>
      </c>
      <c r="E63" s="13">
        <v>0.03</v>
      </c>
      <c r="F63" s="13">
        <v>4.7E-2</v>
      </c>
    </row>
    <row r="64" spans="1:6">
      <c r="A64" s="12">
        <v>2010</v>
      </c>
      <c r="B64" s="13">
        <v>0.41499999999999998</v>
      </c>
      <c r="C64" s="13">
        <v>8.8999999999999996E-2</v>
      </c>
      <c r="D64" s="13">
        <v>0.4</v>
      </c>
      <c r="E64" s="13">
        <v>3.1E-2</v>
      </c>
      <c r="F64" s="13">
        <v>6.5000000000000002E-2</v>
      </c>
    </row>
    <row r="65" spans="1:1">
      <c r="A65" s="12" t="s">
        <v>57</v>
      </c>
    </row>
  </sheetData>
  <pageMargins left="0.7" right="0.7" top="0.75" bottom="0.75" header="0.3" footer="0.3"/>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X272"/>
  <sheetViews>
    <sheetView topLeftCell="A2" zoomScale="53" zoomScaleNormal="53" workbookViewId="0">
      <selection activeCell="P65" sqref="P65"/>
    </sheetView>
  </sheetViews>
  <sheetFormatPr defaultColWidth="10.625" defaultRowHeight="11.1" customHeight="1"/>
  <cols>
    <col min="1" max="1" width="27.875" style="54" bestFit="1" customWidth="1"/>
    <col min="2" max="2" width="11.125" style="22" bestFit="1" customWidth="1"/>
    <col min="3" max="11" width="18.375" style="22" customWidth="1"/>
    <col min="12" max="32" width="18.375" style="20" customWidth="1"/>
    <col min="33" max="38" width="18.375" style="20" hidden="1" customWidth="1"/>
    <col min="39" max="76" width="18.375" style="20" customWidth="1"/>
    <col min="77" max="16384" width="10.625" style="20"/>
  </cols>
  <sheetData>
    <row r="1" spans="1:76" ht="24.75" customHeight="1">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row>
    <row r="2" spans="1:76" ht="15.75" customHeight="1">
      <c r="A2" s="22"/>
      <c r="B2" s="22" t="s">
        <v>214</v>
      </c>
      <c r="C2" s="22" t="s">
        <v>215</v>
      </c>
      <c r="D2" s="22" t="s">
        <v>56</v>
      </c>
      <c r="E2" s="22" t="s">
        <v>92</v>
      </c>
      <c r="F2" s="22" t="s">
        <v>216</v>
      </c>
      <c r="G2" s="22" t="s">
        <v>217</v>
      </c>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row>
    <row r="3" spans="1:76" ht="15.75" customHeight="1">
      <c r="A3" s="22" t="s">
        <v>96</v>
      </c>
      <c r="B3" s="42">
        <v>532981157</v>
      </c>
      <c r="C3" s="42">
        <v>18408678</v>
      </c>
      <c r="D3" s="42">
        <v>21700352</v>
      </c>
      <c r="E3" s="43">
        <v>84654869</v>
      </c>
      <c r="F3" s="43">
        <v>62433325</v>
      </c>
      <c r="G3" s="43">
        <v>770549</v>
      </c>
      <c r="H3" s="21"/>
      <c r="I3" s="21"/>
      <c r="J3" s="21"/>
      <c r="K3" s="21"/>
      <c r="L3" s="21"/>
      <c r="M3" s="21"/>
      <c r="N3" s="21"/>
      <c r="O3" s="21"/>
      <c r="P3" s="21"/>
      <c r="Q3" s="21"/>
      <c r="R3" s="21"/>
      <c r="S3" s="21"/>
      <c r="T3" s="21"/>
      <c r="U3" s="44"/>
      <c r="V3" s="21"/>
      <c r="W3" s="21"/>
      <c r="X3" s="21"/>
      <c r="Y3" s="44"/>
      <c r="Z3" s="44"/>
      <c r="AA3" s="21"/>
      <c r="AB3" s="44"/>
      <c r="AC3" s="44"/>
      <c r="AD3" s="21"/>
      <c r="AE3" s="21"/>
      <c r="AF3" s="21"/>
      <c r="AG3" s="21"/>
      <c r="AH3" s="21"/>
      <c r="AI3" s="21"/>
      <c r="AJ3" s="21"/>
      <c r="AK3" s="21"/>
      <c r="AL3" s="21"/>
      <c r="AM3" s="21"/>
      <c r="AN3" s="21"/>
      <c r="AO3" s="21"/>
      <c r="AP3" s="21"/>
      <c r="AQ3" s="21"/>
      <c r="AR3" s="21"/>
      <c r="AS3" s="21"/>
      <c r="AT3" s="21"/>
      <c r="AU3" s="21"/>
      <c r="AV3" s="21"/>
      <c r="AW3" s="21"/>
      <c r="AX3" s="44"/>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row>
    <row r="4" spans="1:76" s="45" customFormat="1" ht="15.75" customHeight="1">
      <c r="A4" s="22" t="s">
        <v>97</v>
      </c>
      <c r="B4" s="42">
        <v>993592692</v>
      </c>
      <c r="C4" s="42">
        <v>19938663</v>
      </c>
      <c r="D4" s="43">
        <v>25325109</v>
      </c>
      <c r="E4" s="43">
        <v>162558075</v>
      </c>
      <c r="F4" s="43">
        <v>40330965</v>
      </c>
      <c r="G4" s="43">
        <v>3639482</v>
      </c>
      <c r="H4" s="21"/>
      <c r="I4" s="21"/>
      <c r="J4" s="21"/>
      <c r="K4" s="21"/>
      <c r="L4" s="21"/>
      <c r="M4" s="21"/>
      <c r="N4" s="44"/>
      <c r="O4" s="44"/>
      <c r="P4" s="44"/>
      <c r="Q4" s="44"/>
      <c r="R4" s="44"/>
      <c r="S4" s="44"/>
      <c r="T4" s="44"/>
      <c r="U4" s="21"/>
      <c r="V4" s="44"/>
      <c r="W4" s="44"/>
      <c r="X4" s="44"/>
      <c r="Y4" s="44"/>
      <c r="Z4" s="44"/>
      <c r="AA4" s="21"/>
      <c r="AB4" s="44"/>
      <c r="AC4" s="44"/>
      <c r="AD4" s="21"/>
      <c r="AE4" s="21"/>
      <c r="AF4" s="21"/>
      <c r="AG4" s="44"/>
      <c r="AH4" s="44"/>
      <c r="AI4" s="44"/>
      <c r="AJ4" s="44"/>
      <c r="AK4" s="44"/>
      <c r="AL4" s="44"/>
      <c r="AM4" s="44"/>
      <c r="AN4" s="44"/>
      <c r="AO4" s="44"/>
      <c r="AP4" s="44"/>
      <c r="AQ4" s="21"/>
      <c r="AR4" s="21"/>
      <c r="AS4" s="44"/>
      <c r="AT4" s="44"/>
      <c r="AU4" s="21"/>
      <c r="AV4" s="21"/>
      <c r="AW4" s="21"/>
      <c r="AX4" s="21"/>
      <c r="AY4" s="21"/>
      <c r="AZ4" s="44"/>
      <c r="BA4" s="44"/>
      <c r="BB4" s="44"/>
      <c r="BC4" s="44"/>
      <c r="BD4" s="44"/>
      <c r="BE4" s="44"/>
      <c r="BF4" s="44"/>
      <c r="BG4" s="44"/>
      <c r="BH4" s="44"/>
      <c r="BI4" s="44"/>
      <c r="BJ4" s="44"/>
      <c r="BK4" s="44"/>
      <c r="BL4" s="44"/>
      <c r="BM4" s="44"/>
      <c r="BN4" s="44"/>
      <c r="BO4" s="44"/>
      <c r="BP4" s="21"/>
      <c r="BQ4" s="21"/>
      <c r="BR4" s="21"/>
      <c r="BS4" s="21"/>
      <c r="BT4" s="21"/>
      <c r="BU4" s="21"/>
      <c r="BV4" s="21"/>
      <c r="BW4" s="21"/>
      <c r="BX4" s="21"/>
    </row>
    <row r="5" spans="1:76" s="45" customFormat="1" ht="15.75" customHeight="1">
      <c r="A5" s="22" t="s">
        <v>98</v>
      </c>
      <c r="B5" s="42">
        <v>1701107541</v>
      </c>
      <c r="C5" s="42">
        <v>43229817</v>
      </c>
      <c r="D5" s="42">
        <v>36121650</v>
      </c>
      <c r="E5" s="42">
        <v>372383223</v>
      </c>
      <c r="F5" s="42">
        <v>73922053</v>
      </c>
      <c r="G5" s="42">
        <v>14563900</v>
      </c>
      <c r="H5" s="21"/>
      <c r="I5" s="21"/>
      <c r="J5" s="21"/>
      <c r="K5" s="21"/>
      <c r="L5" s="21"/>
      <c r="M5" s="21"/>
      <c r="N5" s="44"/>
      <c r="O5" s="44"/>
      <c r="P5" s="44"/>
      <c r="Q5" s="44"/>
      <c r="R5" s="44"/>
      <c r="S5" s="44"/>
      <c r="T5" s="44"/>
      <c r="U5" s="21"/>
      <c r="V5" s="44"/>
      <c r="W5" s="44"/>
      <c r="X5" s="44"/>
      <c r="Y5" s="21"/>
      <c r="Z5" s="21"/>
      <c r="AA5" s="21"/>
      <c r="AB5" s="21"/>
      <c r="AC5" s="21"/>
      <c r="AD5" s="21"/>
      <c r="AE5" s="21"/>
      <c r="AF5" s="21"/>
      <c r="AG5" s="44"/>
      <c r="AH5" s="44"/>
      <c r="AI5" s="44"/>
      <c r="AJ5" s="44"/>
      <c r="AK5" s="44"/>
      <c r="AL5" s="44"/>
      <c r="AM5" s="44"/>
      <c r="AN5" s="44"/>
      <c r="AO5" s="44"/>
      <c r="AP5" s="44"/>
      <c r="AQ5" s="21"/>
      <c r="AR5" s="21"/>
      <c r="AS5" s="44"/>
      <c r="AT5" s="44"/>
      <c r="AU5" s="21"/>
      <c r="AV5" s="21"/>
      <c r="AW5" s="21"/>
      <c r="AX5" s="21"/>
      <c r="AY5" s="21"/>
      <c r="AZ5" s="44"/>
      <c r="BA5" s="44"/>
      <c r="BB5" s="44"/>
      <c r="BC5" s="44"/>
      <c r="BD5" s="44"/>
      <c r="BE5" s="44"/>
      <c r="BF5" s="44"/>
      <c r="BG5" s="44"/>
      <c r="BH5" s="44"/>
      <c r="BI5" s="44"/>
      <c r="BJ5" s="44"/>
      <c r="BK5" s="44"/>
      <c r="BL5" s="44"/>
      <c r="BM5" s="44"/>
      <c r="BN5" s="44"/>
      <c r="BO5" s="44"/>
      <c r="BP5" s="21"/>
      <c r="BQ5" s="21"/>
      <c r="BR5" s="21"/>
      <c r="BS5" s="21"/>
      <c r="BT5" s="21"/>
      <c r="BU5" s="21"/>
      <c r="BV5" s="21"/>
      <c r="BW5" s="21"/>
      <c r="BX5" s="21"/>
    </row>
    <row r="6" spans="1:76" s="48" customFormat="1" ht="15.75" customHeight="1">
      <c r="A6" s="22" t="s">
        <v>99</v>
      </c>
      <c r="B6" s="42">
        <v>2406261909</v>
      </c>
      <c r="C6" s="42">
        <v>98839078</v>
      </c>
      <c r="D6" s="42">
        <v>72587881</v>
      </c>
      <c r="E6" s="42">
        <v>392854628</v>
      </c>
      <c r="F6" s="42">
        <v>280095044</v>
      </c>
      <c r="G6" s="42">
        <v>86396313</v>
      </c>
      <c r="H6" s="46"/>
      <c r="I6" s="46"/>
      <c r="J6" s="46"/>
      <c r="K6" s="47"/>
      <c r="L6" s="46"/>
      <c r="M6" s="46"/>
      <c r="N6" s="46"/>
      <c r="O6" s="46"/>
      <c r="P6" s="46"/>
      <c r="Q6" s="46"/>
      <c r="R6" s="46"/>
      <c r="S6" s="46"/>
      <c r="T6" s="47"/>
      <c r="U6" s="46"/>
      <c r="V6" s="46"/>
      <c r="W6" s="46"/>
      <c r="X6" s="47"/>
      <c r="Y6" s="46"/>
      <c r="Z6" s="46"/>
      <c r="AA6" s="46"/>
      <c r="AB6" s="46"/>
      <c r="AC6" s="46"/>
      <c r="AD6" s="46"/>
      <c r="AE6" s="46"/>
      <c r="AF6" s="47"/>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row>
    <row r="7" spans="1:76" ht="15.75" customHeight="1">
      <c r="A7" s="22" t="s">
        <v>93</v>
      </c>
      <c r="B7" s="42">
        <v>259165177</v>
      </c>
      <c r="C7" s="42">
        <v>29636829</v>
      </c>
      <c r="D7" s="43">
        <v>14828368</v>
      </c>
      <c r="E7" s="43">
        <v>20672404</v>
      </c>
      <c r="F7" s="43">
        <v>112903459</v>
      </c>
      <c r="G7" s="43">
        <v>50219578</v>
      </c>
      <c r="H7" s="46"/>
      <c r="I7" s="46"/>
      <c r="J7" s="46"/>
      <c r="K7" s="47"/>
      <c r="L7" s="46"/>
      <c r="M7" s="46"/>
      <c r="N7" s="46"/>
      <c r="O7" s="46"/>
      <c r="P7" s="46"/>
      <c r="Q7" s="46"/>
      <c r="R7" s="46"/>
      <c r="S7" s="46"/>
      <c r="T7" s="47"/>
      <c r="U7" s="46"/>
      <c r="V7" s="46"/>
      <c r="W7" s="46"/>
      <c r="X7" s="47"/>
      <c r="Y7" s="46"/>
      <c r="Z7" s="46"/>
      <c r="AA7" s="46"/>
      <c r="AB7" s="46"/>
      <c r="AC7" s="46"/>
      <c r="AD7" s="46"/>
      <c r="AE7" s="46"/>
      <c r="AF7" s="47"/>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row>
    <row r="8" spans="1:76" ht="15.75" customHeight="1">
      <c r="A8" s="22" t="s">
        <v>100</v>
      </c>
      <c r="B8" s="42">
        <v>247106515</v>
      </c>
      <c r="C8" s="42">
        <v>54384155</v>
      </c>
      <c r="D8" s="42">
        <v>25394180</v>
      </c>
      <c r="E8" s="42">
        <v>20495522</v>
      </c>
      <c r="F8" s="42">
        <v>179572522</v>
      </c>
      <c r="G8" s="42">
        <v>128743191</v>
      </c>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c r="BS8" s="49"/>
      <c r="BT8" s="49"/>
      <c r="BU8" s="49"/>
      <c r="BV8" s="49"/>
      <c r="BW8" s="49"/>
    </row>
    <row r="9" spans="1:76" s="50" customFormat="1" ht="15.75" customHeight="1">
      <c r="A9" s="22" t="s">
        <v>94</v>
      </c>
      <c r="B9" s="42">
        <v>140697169</v>
      </c>
      <c r="C9" s="42">
        <v>97705509</v>
      </c>
      <c r="D9" s="42">
        <v>29763550</v>
      </c>
      <c r="E9" s="42">
        <v>7081396</v>
      </c>
      <c r="F9" s="42">
        <v>136383742</v>
      </c>
      <c r="G9" s="42">
        <v>325815123</v>
      </c>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row>
    <row r="10" spans="1:76" ht="15.75" customHeight="1">
      <c r="A10" s="22" t="s">
        <v>95</v>
      </c>
      <c r="B10" s="42">
        <v>87915690</v>
      </c>
      <c r="C10" s="42">
        <v>77519245</v>
      </c>
      <c r="D10" s="42">
        <v>22026735</v>
      </c>
      <c r="E10" s="42">
        <v>3650251</v>
      </c>
      <c r="F10" s="42">
        <v>93504435</v>
      </c>
      <c r="G10" s="42">
        <v>265285834</v>
      </c>
      <c r="H10" s="23"/>
      <c r="I10" s="23"/>
      <c r="J10" s="23"/>
      <c r="K10" s="24"/>
      <c r="L10" s="23"/>
      <c r="M10" s="23"/>
      <c r="N10" s="23"/>
      <c r="O10" s="23"/>
      <c r="P10" s="23"/>
      <c r="Q10" s="23"/>
      <c r="R10" s="23"/>
      <c r="S10" s="23"/>
      <c r="T10" s="23"/>
      <c r="U10" s="23"/>
      <c r="V10" s="23"/>
      <c r="W10" s="23"/>
      <c r="X10" s="23"/>
      <c r="Y10" s="23"/>
      <c r="Z10" s="23"/>
      <c r="AA10" s="23"/>
      <c r="AB10" s="23"/>
      <c r="AC10" s="23"/>
      <c r="AD10" s="23"/>
      <c r="AE10" s="23"/>
      <c r="AF10" s="24"/>
      <c r="AG10" s="23"/>
      <c r="AH10" s="23"/>
      <c r="AI10" s="23"/>
      <c r="AJ10" s="23"/>
      <c r="AK10" s="23"/>
      <c r="AL10" s="23"/>
      <c r="AM10" s="23"/>
      <c r="AN10" s="23"/>
      <c r="AO10" s="23"/>
      <c r="AP10" s="23"/>
      <c r="AQ10" s="23"/>
      <c r="AR10" s="23"/>
      <c r="AS10" s="23"/>
      <c r="AT10" s="23"/>
      <c r="AU10" s="23"/>
      <c r="AV10" s="23"/>
      <c r="AW10" s="23"/>
      <c r="AX10" s="23"/>
      <c r="AY10" s="23"/>
      <c r="AZ10" s="23"/>
      <c r="BA10" s="51"/>
      <c r="BB10" s="23"/>
      <c r="BC10" s="23"/>
      <c r="BD10" s="23"/>
      <c r="BE10" s="23"/>
      <c r="BF10" s="23"/>
      <c r="BG10" s="23"/>
      <c r="BH10" s="23"/>
      <c r="BI10" s="23"/>
      <c r="BJ10" s="23"/>
      <c r="BK10" s="23"/>
      <c r="BL10" s="23"/>
      <c r="BM10" s="23"/>
      <c r="BN10" s="51"/>
      <c r="BO10" s="23"/>
      <c r="BP10" s="23"/>
      <c r="BQ10" s="23"/>
      <c r="BR10" s="23"/>
      <c r="BS10" s="23"/>
      <c r="BT10" s="23"/>
      <c r="BU10" s="23"/>
      <c r="BV10" s="23"/>
      <c r="BW10" s="23"/>
    </row>
    <row r="11" spans="1:76" ht="15" customHeight="1">
      <c r="A11" s="22"/>
      <c r="D11" s="20"/>
      <c r="E11" s="20"/>
      <c r="F11" s="20"/>
      <c r="G11" s="20"/>
      <c r="H11" s="23"/>
      <c r="I11" s="23"/>
      <c r="J11" s="23"/>
      <c r="K11" s="24"/>
      <c r="L11" s="23"/>
      <c r="M11" s="23"/>
      <c r="N11" s="23"/>
      <c r="O11" s="23"/>
      <c r="P11" s="23"/>
      <c r="Q11" s="23"/>
      <c r="R11" s="23"/>
      <c r="S11" s="23"/>
      <c r="T11" s="23"/>
      <c r="U11" s="23"/>
      <c r="V11" s="23"/>
      <c r="W11" s="23"/>
      <c r="X11" s="23"/>
      <c r="Y11" s="23"/>
      <c r="Z11" s="23"/>
      <c r="AA11" s="23"/>
      <c r="AB11" s="23"/>
      <c r="AC11" s="23"/>
      <c r="AD11" s="23"/>
      <c r="AE11" s="23"/>
      <c r="AF11" s="24"/>
      <c r="AG11" s="23"/>
      <c r="AH11" s="23"/>
      <c r="AI11" s="23"/>
      <c r="AJ11" s="51"/>
      <c r="AK11" s="23"/>
      <c r="AL11" s="51"/>
      <c r="AM11" s="23"/>
      <c r="AN11" s="23"/>
      <c r="AO11" s="23"/>
      <c r="AP11" s="51"/>
      <c r="AQ11" s="23"/>
      <c r="AR11" s="23"/>
      <c r="AS11" s="23"/>
      <c r="AT11" s="23"/>
      <c r="AU11" s="23"/>
      <c r="AV11" s="23"/>
      <c r="AW11" s="23"/>
      <c r="AX11" s="23"/>
      <c r="AY11" s="23"/>
      <c r="AZ11" s="23"/>
      <c r="BA11" s="51"/>
      <c r="BB11" s="23"/>
      <c r="BC11" s="23"/>
      <c r="BD11" s="23"/>
      <c r="BE11" s="51"/>
      <c r="BF11" s="23"/>
      <c r="BG11" s="23"/>
      <c r="BH11" s="23"/>
      <c r="BI11" s="23"/>
      <c r="BJ11" s="23"/>
      <c r="BK11" s="23"/>
      <c r="BL11" s="23"/>
      <c r="BM11" s="23"/>
      <c r="BN11" s="51"/>
      <c r="BO11" s="51"/>
      <c r="BP11" s="23"/>
      <c r="BQ11" s="23"/>
      <c r="BR11" s="23"/>
      <c r="BS11" s="23"/>
      <c r="BT11" s="23"/>
      <c r="BU11" s="23"/>
      <c r="BV11" s="51"/>
      <c r="BW11" s="23"/>
    </row>
    <row r="12" spans="1:76" ht="15.75" customHeight="1">
      <c r="A12" s="22"/>
      <c r="C12" s="20"/>
      <c r="D12" s="20"/>
      <c r="E12" s="20"/>
      <c r="F12" s="20"/>
      <c r="G12" s="20"/>
      <c r="H12" s="23"/>
      <c r="I12" s="23"/>
      <c r="J12" s="23"/>
      <c r="K12" s="24"/>
      <c r="L12" s="23"/>
      <c r="M12" s="23"/>
      <c r="N12" s="23"/>
      <c r="O12" s="23"/>
      <c r="P12" s="23"/>
      <c r="Q12" s="23"/>
      <c r="R12" s="23"/>
      <c r="S12" s="23"/>
      <c r="T12" s="23"/>
      <c r="U12" s="23"/>
      <c r="V12" s="23"/>
      <c r="W12" s="23"/>
      <c r="X12" s="23"/>
      <c r="Y12" s="23"/>
      <c r="Z12" s="23"/>
      <c r="AA12" s="23"/>
      <c r="AB12" s="23"/>
      <c r="AC12" s="23"/>
      <c r="AD12" s="23"/>
      <c r="AE12" s="23"/>
      <c r="AF12" s="24"/>
      <c r="AG12" s="23"/>
      <c r="AH12" s="23"/>
      <c r="AI12" s="23"/>
      <c r="AJ12" s="51"/>
      <c r="AK12" s="23"/>
      <c r="AL12" s="51"/>
      <c r="AM12" s="23"/>
      <c r="AN12" s="23"/>
      <c r="AO12" s="23"/>
      <c r="AP12" s="51"/>
      <c r="AQ12" s="23"/>
      <c r="AR12" s="23"/>
      <c r="AS12" s="23"/>
      <c r="AT12" s="23"/>
      <c r="AU12" s="23"/>
      <c r="AV12" s="23"/>
      <c r="AW12" s="23"/>
      <c r="AX12" s="23"/>
      <c r="AY12" s="23"/>
      <c r="AZ12" s="23"/>
      <c r="BA12" s="51"/>
      <c r="BB12" s="23"/>
      <c r="BC12" s="23"/>
      <c r="BD12" s="23"/>
      <c r="BE12" s="23"/>
      <c r="BF12" s="23"/>
      <c r="BG12" s="23"/>
      <c r="BH12" s="23"/>
      <c r="BI12" s="23"/>
      <c r="BJ12" s="23"/>
      <c r="BK12" s="23"/>
      <c r="BL12" s="23"/>
      <c r="BM12" s="23"/>
      <c r="BN12" s="52"/>
      <c r="BO12" s="52"/>
      <c r="BP12" s="23"/>
      <c r="BQ12" s="23"/>
      <c r="BR12" s="23"/>
      <c r="BS12" s="23"/>
      <c r="BT12" s="23"/>
      <c r="BU12" s="23"/>
      <c r="BV12" s="23"/>
      <c r="BW12" s="23"/>
    </row>
    <row r="13" spans="1:76" ht="15.75" customHeight="1">
      <c r="A13" s="22"/>
      <c r="B13" s="22" t="s">
        <v>214</v>
      </c>
      <c r="C13" s="22" t="s">
        <v>215</v>
      </c>
      <c r="D13" s="22" t="s">
        <v>56</v>
      </c>
      <c r="E13" s="22" t="s">
        <v>92</v>
      </c>
      <c r="F13" s="22" t="s">
        <v>216</v>
      </c>
      <c r="G13" s="22" t="s">
        <v>217</v>
      </c>
      <c r="H13" s="23"/>
      <c r="I13" s="23"/>
      <c r="J13" s="23"/>
      <c r="K13" s="24"/>
      <c r="L13" s="23"/>
      <c r="M13" s="23"/>
      <c r="N13" s="23"/>
      <c r="O13" s="23"/>
      <c r="P13" s="23"/>
      <c r="Q13" s="23"/>
      <c r="R13" s="23"/>
      <c r="S13" s="23"/>
      <c r="T13" s="23"/>
      <c r="U13" s="23"/>
      <c r="V13" s="23"/>
      <c r="W13" s="23"/>
      <c r="X13" s="23"/>
      <c r="Y13" s="23"/>
      <c r="Z13" s="23"/>
      <c r="AA13" s="23"/>
      <c r="AB13" s="23"/>
      <c r="AC13" s="23"/>
      <c r="AD13" s="23"/>
      <c r="AE13" s="23"/>
      <c r="AF13" s="24"/>
      <c r="AG13" s="23"/>
      <c r="AH13" s="23"/>
      <c r="AI13" s="23"/>
      <c r="AJ13" s="23"/>
      <c r="AK13" s="23"/>
      <c r="AL13" s="52"/>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52"/>
      <c r="BW13" s="23"/>
    </row>
    <row r="14" spans="1:76" ht="15.75" customHeight="1">
      <c r="A14" s="22" t="s">
        <v>96</v>
      </c>
      <c r="B14" s="22">
        <v>0.73927726999999999</v>
      </c>
      <c r="C14" s="22">
        <v>2.5533956E-2</v>
      </c>
      <c r="D14" s="22">
        <v>3.0099707999999999E-2</v>
      </c>
      <c r="E14" s="22">
        <v>0.11742145</v>
      </c>
      <c r="F14" s="22">
        <v>8.6598817999999994E-2</v>
      </c>
      <c r="G14" s="22">
        <v>1.0687979999999999E-3</v>
      </c>
      <c r="H14" s="23"/>
      <c r="I14" s="23"/>
      <c r="J14" s="23"/>
      <c r="K14" s="24"/>
      <c r="L14" s="23"/>
      <c r="M14" s="23"/>
      <c r="N14" s="23"/>
      <c r="O14" s="23"/>
      <c r="P14" s="23"/>
      <c r="Q14" s="23"/>
      <c r="R14" s="23"/>
      <c r="S14" s="23"/>
      <c r="T14" s="23"/>
      <c r="U14" s="23"/>
      <c r="V14" s="23"/>
      <c r="W14" s="23"/>
      <c r="X14" s="23"/>
      <c r="Y14" s="23"/>
      <c r="Z14" s="23"/>
      <c r="AA14" s="23"/>
      <c r="AB14" s="23"/>
      <c r="AC14" s="23"/>
      <c r="AD14" s="23"/>
      <c r="AE14" s="23"/>
      <c r="AF14" s="24"/>
      <c r="AG14" s="23"/>
      <c r="AH14" s="23"/>
      <c r="AI14" s="23"/>
      <c r="AJ14" s="51"/>
      <c r="AK14" s="23"/>
      <c r="AL14" s="52"/>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51"/>
      <c r="BO14" s="23"/>
      <c r="BP14" s="23"/>
      <c r="BQ14" s="23"/>
      <c r="BR14" s="23"/>
      <c r="BS14" s="23"/>
      <c r="BT14" s="23"/>
      <c r="BU14" s="23"/>
      <c r="BV14" s="52"/>
      <c r="BW14" s="23"/>
    </row>
    <row r="15" spans="1:76" ht="15.75" customHeight="1">
      <c r="A15" s="22" t="s">
        <v>97</v>
      </c>
      <c r="B15" s="22">
        <v>0.79781971299999999</v>
      </c>
      <c r="C15" s="22">
        <v>1.601004E-2</v>
      </c>
      <c r="D15" s="22">
        <v>2.0335164999999999E-2</v>
      </c>
      <c r="E15" s="22">
        <v>0.130528372</v>
      </c>
      <c r="F15" s="22">
        <v>3.2384335E-2</v>
      </c>
      <c r="G15" s="22">
        <v>2.9223750000000001E-3</v>
      </c>
      <c r="H15" s="23"/>
      <c r="I15" s="23"/>
      <c r="J15" s="23"/>
      <c r="K15" s="24"/>
      <c r="L15" s="23"/>
      <c r="M15" s="23"/>
      <c r="N15" s="23"/>
      <c r="O15" s="23"/>
      <c r="P15" s="23"/>
      <c r="Q15" s="23"/>
      <c r="R15" s="23"/>
      <c r="S15" s="23"/>
      <c r="T15" s="23"/>
      <c r="U15" s="23"/>
      <c r="V15" s="23"/>
      <c r="W15" s="23"/>
      <c r="X15" s="23"/>
      <c r="Y15" s="23"/>
      <c r="Z15" s="23"/>
      <c r="AA15" s="23"/>
      <c r="AB15" s="23"/>
      <c r="AC15" s="23"/>
      <c r="AD15" s="23"/>
      <c r="AE15" s="23"/>
      <c r="AF15" s="24"/>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51"/>
      <c r="BN15" s="23"/>
      <c r="BO15" s="23"/>
      <c r="BP15" s="23"/>
      <c r="BQ15" s="23"/>
      <c r="BR15" s="23"/>
      <c r="BS15" s="23"/>
      <c r="BT15" s="23"/>
      <c r="BU15" s="23"/>
      <c r="BV15" s="23"/>
      <c r="BW15" s="23"/>
    </row>
    <row r="16" spans="1:76" ht="15.75" customHeight="1">
      <c r="A16" s="22" t="s">
        <v>98</v>
      </c>
      <c r="B16" s="22">
        <v>0.75897298400000002</v>
      </c>
      <c r="C16" s="22">
        <v>1.9287589000000001E-2</v>
      </c>
      <c r="D16" s="22">
        <v>1.6116181E-2</v>
      </c>
      <c r="E16" s="22">
        <v>0.16614399699999999</v>
      </c>
      <c r="F16" s="22">
        <v>3.2981361000000001E-2</v>
      </c>
      <c r="G16" s="22">
        <v>6.4978880000000003E-3</v>
      </c>
      <c r="H16" s="23"/>
      <c r="I16" s="23"/>
      <c r="J16" s="23"/>
      <c r="K16" s="24"/>
      <c r="L16" s="23"/>
      <c r="M16" s="23"/>
      <c r="N16" s="23"/>
      <c r="O16" s="23"/>
      <c r="P16" s="23"/>
      <c r="Q16" s="23"/>
      <c r="R16" s="23"/>
      <c r="S16" s="23"/>
      <c r="T16" s="23"/>
      <c r="U16" s="23"/>
      <c r="V16" s="23"/>
      <c r="W16" s="23"/>
      <c r="X16" s="23"/>
      <c r="Y16" s="23"/>
      <c r="Z16" s="23"/>
      <c r="AA16" s="23"/>
      <c r="AB16" s="23"/>
      <c r="AC16" s="23"/>
      <c r="AD16" s="23"/>
      <c r="AE16" s="23"/>
      <c r="AF16" s="24"/>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51"/>
      <c r="BN16" s="23"/>
      <c r="BO16" s="23"/>
      <c r="BP16" s="23"/>
      <c r="BQ16" s="23"/>
      <c r="BR16" s="23"/>
      <c r="BS16" s="23"/>
      <c r="BT16" s="23"/>
      <c r="BU16" s="23"/>
      <c r="BV16" s="23"/>
      <c r="BW16" s="23"/>
    </row>
    <row r="17" spans="1:76" ht="15.75" customHeight="1">
      <c r="A17" s="22" t="s">
        <v>99</v>
      </c>
      <c r="B17" s="22">
        <v>0.72107784799999997</v>
      </c>
      <c r="C17" s="22">
        <v>2.9618833000000001E-2</v>
      </c>
      <c r="D17" s="22">
        <v>2.1752209000000002E-2</v>
      </c>
      <c r="E17" s="22">
        <v>0.117725659</v>
      </c>
      <c r="F17" s="22">
        <v>8.3935307000000001E-2</v>
      </c>
      <c r="G17" s="22">
        <v>2.5890144E-2</v>
      </c>
      <c r="H17" s="23"/>
      <c r="I17" s="23"/>
      <c r="J17" s="23"/>
      <c r="K17" s="24"/>
      <c r="L17" s="23"/>
      <c r="M17" s="23"/>
      <c r="N17" s="23"/>
      <c r="O17" s="23"/>
      <c r="P17" s="23"/>
      <c r="Q17" s="23"/>
      <c r="R17" s="23"/>
      <c r="S17" s="23"/>
      <c r="T17" s="23"/>
      <c r="U17" s="23"/>
      <c r="V17" s="23"/>
      <c r="W17" s="23"/>
      <c r="X17" s="23"/>
      <c r="Y17" s="23"/>
      <c r="Z17" s="23"/>
      <c r="AA17" s="23"/>
      <c r="AB17" s="23"/>
      <c r="AC17" s="23"/>
      <c r="AD17" s="23"/>
      <c r="AE17" s="23"/>
      <c r="AF17" s="24"/>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51"/>
      <c r="BN17" s="23"/>
      <c r="BO17" s="23"/>
      <c r="BP17" s="23"/>
      <c r="BQ17" s="23"/>
      <c r="BR17" s="23"/>
      <c r="BS17" s="23"/>
      <c r="BT17" s="23"/>
      <c r="BU17" s="23"/>
      <c r="BV17" s="23"/>
      <c r="BW17" s="23"/>
    </row>
    <row r="18" spans="1:76" ht="15.75" customHeight="1">
      <c r="A18" s="22" t="s">
        <v>93</v>
      </c>
      <c r="B18" s="22">
        <v>0.53170178700000004</v>
      </c>
      <c r="C18" s="22">
        <v>6.0802747999999997E-2</v>
      </c>
      <c r="D18" s="22">
        <v>3.0421795000000001E-2</v>
      </c>
      <c r="E18" s="22">
        <v>4.2411385000000003E-2</v>
      </c>
      <c r="F18" s="22">
        <v>0.23163208699999999</v>
      </c>
      <c r="G18" s="22">
        <v>0.103030198</v>
      </c>
      <c r="H18" s="23"/>
      <c r="I18" s="23"/>
      <c r="J18" s="23"/>
      <c r="K18" s="24"/>
      <c r="L18" s="23"/>
      <c r="M18" s="52"/>
      <c r="N18" s="23"/>
      <c r="O18" s="23"/>
      <c r="P18" s="23"/>
      <c r="Q18" s="23"/>
      <c r="R18" s="23"/>
      <c r="S18" s="23"/>
      <c r="T18" s="23"/>
      <c r="U18" s="23"/>
      <c r="V18" s="23"/>
      <c r="W18" s="23"/>
      <c r="X18" s="23"/>
      <c r="Y18" s="23"/>
      <c r="Z18" s="23"/>
      <c r="AA18" s="23"/>
      <c r="AB18" s="23"/>
      <c r="AC18" s="23"/>
      <c r="AD18" s="23"/>
      <c r="AE18" s="23"/>
      <c r="AF18" s="24"/>
      <c r="AG18" s="23"/>
      <c r="AH18" s="23"/>
      <c r="AI18" s="23"/>
      <c r="AJ18" s="23"/>
      <c r="AK18" s="23"/>
      <c r="AL18" s="23"/>
      <c r="AM18" s="23"/>
      <c r="AN18" s="23"/>
      <c r="AO18" s="23"/>
      <c r="AP18" s="23"/>
      <c r="AQ18" s="23"/>
      <c r="AR18" s="23"/>
      <c r="AS18" s="23"/>
      <c r="AT18" s="23"/>
      <c r="AU18" s="23"/>
      <c r="AV18" s="23"/>
      <c r="AW18" s="23"/>
      <c r="AX18" s="52"/>
      <c r="AY18" s="23"/>
      <c r="AZ18" s="52"/>
      <c r="BA18" s="23"/>
      <c r="BB18" s="23"/>
      <c r="BC18" s="23"/>
      <c r="BD18" s="23"/>
      <c r="BE18" s="23"/>
      <c r="BF18" s="23"/>
      <c r="BG18" s="23"/>
      <c r="BH18" s="23"/>
      <c r="BI18" s="23"/>
      <c r="BJ18" s="23"/>
      <c r="BK18" s="23"/>
      <c r="BL18" s="23"/>
      <c r="BM18" s="51"/>
      <c r="BN18" s="52"/>
      <c r="BO18" s="23"/>
      <c r="BP18" s="23"/>
      <c r="BQ18" s="23"/>
      <c r="BR18" s="23"/>
      <c r="BS18" s="23"/>
      <c r="BT18" s="52"/>
      <c r="BU18" s="23"/>
      <c r="BV18" s="23"/>
      <c r="BW18" s="23"/>
    </row>
    <row r="19" spans="1:76" ht="15.75" customHeight="1">
      <c r="A19" s="22" t="s">
        <v>100</v>
      </c>
      <c r="B19" s="22">
        <v>0.37686135500000001</v>
      </c>
      <c r="C19" s="22">
        <v>8.2941101000000003E-2</v>
      </c>
      <c r="D19" s="22">
        <v>3.8728582999999997E-2</v>
      </c>
      <c r="E19" s="22">
        <v>3.1257655000000002E-2</v>
      </c>
      <c r="F19" s="22">
        <v>0.273865478</v>
      </c>
      <c r="G19" s="22">
        <v>0.196345828</v>
      </c>
      <c r="H19" s="23"/>
      <c r="I19" s="23"/>
      <c r="J19" s="23"/>
      <c r="K19" s="24"/>
      <c r="L19" s="23"/>
      <c r="M19" s="52"/>
      <c r="N19" s="23"/>
      <c r="O19" s="23"/>
      <c r="P19" s="23"/>
      <c r="Q19" s="23"/>
      <c r="R19" s="23"/>
      <c r="S19" s="23"/>
      <c r="T19" s="23"/>
      <c r="U19" s="23"/>
      <c r="V19" s="23"/>
      <c r="W19" s="23"/>
      <c r="X19" s="23"/>
      <c r="Y19" s="23"/>
      <c r="Z19" s="23"/>
      <c r="AA19" s="23"/>
      <c r="AB19" s="23"/>
      <c r="AC19" s="23"/>
      <c r="AD19" s="23"/>
      <c r="AE19" s="23"/>
      <c r="AF19" s="24"/>
      <c r="AG19" s="23"/>
      <c r="AH19" s="23"/>
      <c r="AI19" s="23"/>
      <c r="AJ19" s="23"/>
      <c r="AK19" s="23"/>
      <c r="AL19" s="23"/>
      <c r="AM19" s="23"/>
      <c r="AN19" s="23"/>
      <c r="AO19" s="23"/>
      <c r="AP19" s="23"/>
      <c r="AQ19" s="23"/>
      <c r="AR19" s="23"/>
      <c r="AS19" s="23"/>
      <c r="AT19" s="23"/>
      <c r="AU19" s="23"/>
      <c r="AV19" s="23"/>
      <c r="AW19" s="23"/>
      <c r="AX19" s="52"/>
      <c r="AY19" s="23"/>
      <c r="AZ19" s="52"/>
      <c r="BA19" s="23"/>
      <c r="BB19" s="23"/>
      <c r="BC19" s="23"/>
      <c r="BD19" s="23"/>
      <c r="BE19" s="23"/>
      <c r="BF19" s="23"/>
      <c r="BG19" s="23"/>
      <c r="BH19" s="23"/>
      <c r="BI19" s="23"/>
      <c r="BJ19" s="23"/>
      <c r="BK19" s="23"/>
      <c r="BL19" s="23"/>
      <c r="BM19" s="51"/>
      <c r="BN19" s="52"/>
      <c r="BO19" s="23"/>
      <c r="BP19" s="23"/>
      <c r="BQ19" s="23"/>
      <c r="BR19" s="23"/>
      <c r="BS19" s="23"/>
      <c r="BT19" s="52"/>
      <c r="BU19" s="23"/>
      <c r="BV19" s="23"/>
      <c r="BW19" s="23"/>
    </row>
    <row r="20" spans="1:76" ht="15.75" customHeight="1">
      <c r="A20" s="22" t="s">
        <v>94</v>
      </c>
      <c r="B20" s="22">
        <v>0.190789666</v>
      </c>
      <c r="C20" s="22">
        <v>0.13249165900000001</v>
      </c>
      <c r="D20" s="22">
        <v>4.0360284000000003E-2</v>
      </c>
      <c r="E20" s="22">
        <v>9.6025899999999994E-3</v>
      </c>
      <c r="F20" s="22">
        <v>0.18494052699999999</v>
      </c>
      <c r="G20" s="22">
        <v>0.44181527500000001</v>
      </c>
      <c r="H20" s="23"/>
      <c r="I20" s="23"/>
      <c r="J20" s="23"/>
      <c r="K20" s="24"/>
      <c r="L20" s="23"/>
      <c r="M20" s="52"/>
      <c r="N20" s="23"/>
      <c r="O20" s="23"/>
      <c r="P20" s="23"/>
      <c r="Q20" s="23"/>
      <c r="R20" s="23"/>
      <c r="S20" s="23"/>
      <c r="T20" s="23"/>
      <c r="U20" s="23"/>
      <c r="V20" s="23"/>
      <c r="W20" s="23"/>
      <c r="X20" s="23"/>
      <c r="Y20" s="23"/>
      <c r="Z20" s="23"/>
      <c r="AA20" s="23"/>
      <c r="AB20" s="23"/>
      <c r="AC20" s="23"/>
      <c r="AD20" s="23"/>
      <c r="AE20" s="23"/>
      <c r="AF20" s="24"/>
      <c r="AG20" s="23"/>
      <c r="AH20" s="23"/>
      <c r="AI20" s="23"/>
      <c r="AJ20" s="23"/>
      <c r="AK20" s="23"/>
      <c r="AL20" s="23"/>
      <c r="AM20" s="23"/>
      <c r="AN20" s="23"/>
      <c r="AO20" s="23"/>
      <c r="AP20" s="23"/>
      <c r="AQ20" s="23"/>
      <c r="AR20" s="23"/>
      <c r="AS20" s="23"/>
      <c r="AT20" s="23"/>
      <c r="AU20" s="23"/>
      <c r="AV20" s="23"/>
      <c r="AW20" s="23"/>
      <c r="AX20" s="52"/>
      <c r="AY20" s="23"/>
      <c r="AZ20" s="52"/>
      <c r="BA20" s="51"/>
      <c r="BB20" s="23"/>
      <c r="BC20" s="52"/>
      <c r="BD20" s="23"/>
      <c r="BE20" s="23"/>
      <c r="BF20" s="23"/>
      <c r="BG20" s="23"/>
      <c r="BH20" s="23"/>
      <c r="BI20" s="23"/>
      <c r="BJ20" s="23"/>
      <c r="BK20" s="23"/>
      <c r="BL20" s="23"/>
      <c r="BM20" s="23"/>
      <c r="BN20" s="52"/>
      <c r="BO20" s="52"/>
      <c r="BP20" s="23"/>
      <c r="BQ20" s="23"/>
      <c r="BR20" s="23"/>
      <c r="BS20" s="23"/>
      <c r="BT20" s="51"/>
      <c r="BU20" s="23"/>
      <c r="BV20" s="23"/>
      <c r="BW20" s="23"/>
    </row>
    <row r="21" spans="1:76" ht="15.75" customHeight="1">
      <c r="A21" s="22" t="s">
        <v>95</v>
      </c>
      <c r="B21" s="22">
        <v>0.159875141</v>
      </c>
      <c r="C21" s="22">
        <v>0.14096915099999999</v>
      </c>
      <c r="D21" s="22">
        <v>4.0055731999999997E-2</v>
      </c>
      <c r="E21" s="22">
        <v>6.6379999999999998E-3</v>
      </c>
      <c r="F21" s="22">
        <v>0.170038303</v>
      </c>
      <c r="G21" s="22">
        <v>0.48242367200000003</v>
      </c>
      <c r="H21" s="23"/>
      <c r="I21" s="23"/>
      <c r="J21" s="23"/>
      <c r="K21" s="24"/>
      <c r="L21" s="23"/>
      <c r="M21" s="52"/>
      <c r="N21" s="23"/>
      <c r="O21" s="23"/>
      <c r="P21" s="23"/>
      <c r="Q21" s="23"/>
      <c r="R21" s="23"/>
      <c r="S21" s="23"/>
      <c r="T21" s="23"/>
      <c r="U21" s="23"/>
      <c r="V21" s="23"/>
      <c r="W21" s="23"/>
      <c r="X21" s="23"/>
      <c r="Y21" s="23"/>
      <c r="Z21" s="23"/>
      <c r="AA21" s="23"/>
      <c r="AB21" s="23"/>
      <c r="AC21" s="23"/>
      <c r="AD21" s="23"/>
      <c r="AE21" s="23"/>
      <c r="AF21" s="24"/>
      <c r="AG21" s="23"/>
      <c r="AH21" s="23"/>
      <c r="AI21" s="23"/>
      <c r="AJ21" s="23"/>
      <c r="AK21" s="23"/>
      <c r="AL21" s="23"/>
      <c r="AM21" s="23"/>
      <c r="AN21" s="23"/>
      <c r="AO21" s="23"/>
      <c r="AP21" s="23"/>
      <c r="AQ21" s="23"/>
      <c r="AR21" s="23"/>
      <c r="AS21" s="23"/>
      <c r="AT21" s="23"/>
      <c r="AU21" s="23"/>
      <c r="AV21" s="23"/>
      <c r="AW21" s="23"/>
      <c r="AX21" s="52"/>
      <c r="AY21" s="23"/>
      <c r="AZ21" s="23"/>
      <c r="BA21" s="51"/>
      <c r="BB21" s="23"/>
      <c r="BC21" s="52"/>
      <c r="BD21" s="23"/>
      <c r="BE21" s="23"/>
      <c r="BF21" s="23"/>
      <c r="BG21" s="23"/>
      <c r="BH21" s="23"/>
      <c r="BI21" s="23"/>
      <c r="BJ21" s="23"/>
      <c r="BK21" s="23"/>
      <c r="BL21" s="23"/>
      <c r="BM21" s="52"/>
      <c r="BN21" s="52"/>
      <c r="BO21" s="52"/>
      <c r="BP21" s="23"/>
      <c r="BQ21" s="23"/>
      <c r="BR21" s="23"/>
      <c r="BS21" s="23"/>
      <c r="BT21" s="51"/>
      <c r="BU21" s="23"/>
      <c r="BV21" s="23"/>
      <c r="BW21" s="23"/>
    </row>
    <row r="22" spans="1:76" ht="15.75" customHeight="1">
      <c r="A22" s="53"/>
      <c r="B22" s="23"/>
      <c r="C22" s="23"/>
      <c r="D22" s="23"/>
      <c r="E22" s="23"/>
      <c r="F22" s="23"/>
      <c r="G22" s="23"/>
      <c r="H22" s="23"/>
      <c r="I22" s="23"/>
      <c r="J22" s="23"/>
      <c r="K22" s="24"/>
      <c r="L22" s="23"/>
      <c r="M22" s="52"/>
      <c r="N22" s="23"/>
      <c r="O22" s="23"/>
      <c r="P22" s="23"/>
      <c r="Q22" s="23"/>
      <c r="R22" s="23"/>
      <c r="S22" s="23"/>
      <c r="T22" s="23"/>
      <c r="U22" s="23"/>
      <c r="V22" s="23"/>
      <c r="W22" s="23"/>
      <c r="X22" s="23"/>
      <c r="Y22" s="23"/>
      <c r="Z22" s="23"/>
      <c r="AA22" s="23"/>
      <c r="AB22" s="23"/>
      <c r="AC22" s="23"/>
      <c r="AD22" s="23"/>
      <c r="AE22" s="23"/>
      <c r="AF22" s="24"/>
      <c r="AG22" s="23"/>
      <c r="AH22" s="23"/>
      <c r="AI22" s="23"/>
      <c r="AJ22" s="23"/>
      <c r="AK22" s="23"/>
      <c r="AL22" s="23"/>
      <c r="AM22" s="23"/>
      <c r="AN22" s="23"/>
      <c r="AO22" s="23"/>
      <c r="AP22" s="23"/>
      <c r="AQ22" s="23"/>
      <c r="AR22" s="23"/>
      <c r="AS22" s="23"/>
      <c r="AT22" s="23"/>
      <c r="AU22" s="23"/>
      <c r="AV22" s="23"/>
      <c r="AW22" s="23"/>
      <c r="AX22" s="52"/>
      <c r="AY22" s="23"/>
      <c r="AZ22" s="23"/>
      <c r="BA22" s="51"/>
      <c r="BB22" s="23"/>
      <c r="BC22" s="52"/>
      <c r="BD22" s="23"/>
      <c r="BE22" s="23"/>
      <c r="BF22" s="23"/>
      <c r="BG22" s="23"/>
      <c r="BH22" s="23"/>
      <c r="BI22" s="23"/>
      <c r="BJ22" s="23"/>
      <c r="BK22" s="23"/>
      <c r="BL22" s="23"/>
      <c r="BM22" s="52"/>
      <c r="BN22" s="52"/>
      <c r="BO22" s="52"/>
      <c r="BP22" s="23"/>
      <c r="BQ22" s="23"/>
      <c r="BR22" s="23"/>
      <c r="BS22" s="23"/>
      <c r="BT22" s="51"/>
      <c r="BU22" s="23"/>
      <c r="BV22" s="23"/>
      <c r="BW22" s="23"/>
    </row>
    <row r="23" spans="1:76" ht="15.75" customHeight="1">
      <c r="A23" s="53"/>
      <c r="B23" s="23"/>
      <c r="C23" s="23"/>
      <c r="D23" s="23"/>
      <c r="E23" s="23"/>
      <c r="F23" s="23"/>
      <c r="G23" s="23"/>
      <c r="H23" s="23"/>
      <c r="I23" s="23"/>
      <c r="J23" s="23"/>
      <c r="K23" s="24"/>
      <c r="L23" s="23"/>
      <c r="M23" s="52"/>
      <c r="N23" s="23"/>
      <c r="O23" s="23"/>
      <c r="P23" s="23"/>
      <c r="Q23" s="23"/>
      <c r="R23" s="23"/>
      <c r="S23" s="23"/>
      <c r="T23" s="23"/>
      <c r="U23" s="23"/>
      <c r="V23" s="23"/>
      <c r="W23" s="23"/>
      <c r="X23" s="23"/>
      <c r="Y23" s="23"/>
      <c r="Z23" s="23"/>
      <c r="AA23" s="23"/>
      <c r="AB23" s="23"/>
      <c r="AC23" s="23"/>
      <c r="AD23" s="23"/>
      <c r="AE23" s="23"/>
      <c r="AF23" s="24"/>
      <c r="AG23" s="23"/>
      <c r="AH23" s="23"/>
      <c r="AI23" s="23"/>
      <c r="AJ23" s="23"/>
      <c r="AK23" s="52"/>
      <c r="AL23" s="52"/>
      <c r="AM23" s="23"/>
      <c r="AN23" s="23"/>
      <c r="AO23" s="23"/>
      <c r="AP23" s="23"/>
      <c r="AQ23" s="23"/>
      <c r="AR23" s="23"/>
      <c r="AS23" s="23"/>
      <c r="AT23" s="23"/>
      <c r="AU23" s="23"/>
      <c r="AV23" s="23"/>
      <c r="AW23" s="23"/>
      <c r="AX23" s="52"/>
      <c r="AY23" s="23"/>
      <c r="AZ23" s="23"/>
      <c r="BA23" s="51"/>
      <c r="BB23" s="23"/>
      <c r="BC23" s="52"/>
      <c r="BD23" s="23"/>
      <c r="BE23" s="23"/>
      <c r="BF23" s="23"/>
      <c r="BG23" s="23"/>
      <c r="BH23" s="23"/>
      <c r="BI23" s="23"/>
      <c r="BJ23" s="23"/>
      <c r="BK23" s="23"/>
      <c r="BL23" s="23"/>
      <c r="BM23" s="51"/>
      <c r="BN23" s="23"/>
      <c r="BO23" s="52"/>
      <c r="BP23" s="23"/>
      <c r="BQ23" s="23"/>
      <c r="BR23" s="23"/>
      <c r="BS23" s="23"/>
      <c r="BT23" s="51"/>
      <c r="BU23" s="23"/>
      <c r="BV23" s="23"/>
      <c r="BW23" s="23"/>
    </row>
    <row r="24" spans="1:76" ht="15.75" customHeight="1">
      <c r="A24" s="53"/>
      <c r="B24" s="23"/>
      <c r="C24" s="23"/>
      <c r="D24" s="23"/>
      <c r="E24" s="23"/>
      <c r="F24" s="23"/>
      <c r="G24" s="23"/>
      <c r="H24" s="23"/>
      <c r="I24" s="23"/>
      <c r="J24" s="23"/>
      <c r="K24" s="24"/>
      <c r="L24" s="23"/>
      <c r="M24" s="52"/>
      <c r="N24" s="23"/>
      <c r="O24" s="23"/>
      <c r="P24" s="23"/>
      <c r="Q24" s="23"/>
      <c r="R24" s="23"/>
      <c r="S24" s="23"/>
      <c r="T24" s="23"/>
      <c r="U24" s="23"/>
      <c r="V24" s="23"/>
      <c r="W24" s="23"/>
      <c r="X24" s="23"/>
      <c r="Y24" s="23"/>
      <c r="Z24" s="23"/>
      <c r="AA24" s="23"/>
      <c r="AB24" s="23"/>
      <c r="AC24" s="23"/>
      <c r="AD24" s="23"/>
      <c r="AE24" s="23"/>
      <c r="AF24" s="24"/>
      <c r="AG24" s="23"/>
      <c r="AH24" s="23"/>
      <c r="AI24" s="23"/>
      <c r="AJ24" s="23"/>
      <c r="AK24" s="52"/>
      <c r="AL24" s="52"/>
      <c r="AM24" s="23"/>
      <c r="AN24" s="23"/>
      <c r="AO24" s="23"/>
      <c r="AP24" s="23"/>
      <c r="AQ24" s="23"/>
      <c r="AR24" s="23"/>
      <c r="AS24" s="23"/>
      <c r="AT24" s="23"/>
      <c r="AU24" s="23"/>
      <c r="AV24" s="23"/>
      <c r="AW24" s="23"/>
      <c r="AX24" s="52"/>
      <c r="AY24" s="23"/>
      <c r="AZ24" s="23"/>
      <c r="BA24" s="52"/>
      <c r="BB24" s="23"/>
      <c r="BC24" s="52"/>
      <c r="BD24" s="23"/>
      <c r="BE24" s="23"/>
      <c r="BF24" s="23"/>
      <c r="BG24" s="23"/>
      <c r="BH24" s="23"/>
      <c r="BI24" s="23"/>
      <c r="BJ24" s="23"/>
      <c r="BK24" s="23"/>
      <c r="BL24" s="23"/>
      <c r="BM24" s="52"/>
      <c r="BN24" s="23"/>
      <c r="BO24" s="52"/>
      <c r="BP24" s="23"/>
      <c r="BQ24" s="23"/>
      <c r="BR24" s="23"/>
      <c r="BS24" s="23"/>
      <c r="BT24" s="51"/>
      <c r="BU24" s="23"/>
      <c r="BV24" s="23"/>
      <c r="BW24" s="23"/>
    </row>
    <row r="25" spans="1:76" ht="15.75" customHeight="1">
      <c r="A25" s="53"/>
      <c r="B25" s="23"/>
      <c r="C25" s="23"/>
      <c r="D25" s="23"/>
      <c r="E25" s="23"/>
      <c r="F25" s="23"/>
      <c r="G25" s="23"/>
      <c r="H25" s="23"/>
      <c r="I25" s="23"/>
      <c r="J25" s="23"/>
      <c r="K25" s="24"/>
      <c r="L25" s="23"/>
      <c r="M25" s="52"/>
      <c r="N25" s="23"/>
      <c r="O25" s="23"/>
      <c r="P25" s="23"/>
      <c r="Q25" s="23"/>
      <c r="R25" s="23"/>
      <c r="S25" s="23"/>
      <c r="T25" s="23"/>
      <c r="U25" s="23"/>
      <c r="V25" s="23"/>
      <c r="W25" s="23"/>
      <c r="X25" s="23"/>
      <c r="Y25" s="23"/>
      <c r="Z25" s="23"/>
      <c r="AA25" s="23"/>
      <c r="AB25" s="23"/>
      <c r="AC25" s="23"/>
      <c r="AD25" s="23"/>
      <c r="AE25" s="23"/>
      <c r="AF25" s="24"/>
      <c r="AG25" s="23"/>
      <c r="AH25" s="23"/>
      <c r="AI25" s="23"/>
      <c r="AJ25" s="23"/>
      <c r="AK25" s="23"/>
      <c r="AL25" s="23"/>
      <c r="AM25" s="23"/>
      <c r="AN25" s="23"/>
      <c r="AO25" s="23"/>
      <c r="AP25" s="23"/>
      <c r="AQ25" s="23"/>
      <c r="AR25" s="23"/>
      <c r="AS25" s="23"/>
      <c r="AT25" s="23"/>
      <c r="AU25" s="23"/>
      <c r="AV25" s="23"/>
      <c r="AW25" s="23"/>
      <c r="AX25" s="52"/>
      <c r="AY25" s="23"/>
      <c r="AZ25" s="23"/>
      <c r="BA25" s="52"/>
      <c r="BB25" s="23"/>
      <c r="BC25" s="52"/>
      <c r="BD25" s="23"/>
      <c r="BE25" s="23"/>
      <c r="BF25" s="23"/>
      <c r="BG25" s="23"/>
      <c r="BH25" s="23"/>
      <c r="BI25" s="23"/>
      <c r="BJ25" s="23"/>
      <c r="BK25" s="23"/>
      <c r="BL25" s="23"/>
      <c r="BM25" s="52"/>
      <c r="BN25" s="23"/>
      <c r="BO25" s="52"/>
      <c r="BP25" s="23"/>
      <c r="BQ25" s="23"/>
      <c r="BR25" s="23"/>
      <c r="BS25" s="23"/>
      <c r="BT25" s="51"/>
      <c r="BU25" s="23"/>
      <c r="BV25" s="23"/>
      <c r="BW25" s="23"/>
    </row>
    <row r="26" spans="1:76" ht="11.1" customHeight="1">
      <c r="J26" s="54"/>
      <c r="K26" s="54"/>
    </row>
    <row r="28" spans="1:76" ht="11.1" customHeight="1">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row>
    <row r="30" spans="1:76" ht="11.1" customHeight="1">
      <c r="BV30" s="55"/>
    </row>
    <row r="32" spans="1:76" ht="11.1" customHeight="1">
      <c r="I32" s="20"/>
      <c r="J32" s="20"/>
      <c r="K32" s="20"/>
      <c r="P32" s="42"/>
      <c r="Q32" s="42"/>
      <c r="R32" s="42"/>
      <c r="T32" s="22"/>
      <c r="U32" s="22"/>
      <c r="V32" s="22"/>
      <c r="W32" s="22"/>
      <c r="X32" s="22"/>
      <c r="Y32" s="2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row>
    <row r="33" spans="1:25" ht="11.1" customHeight="1">
      <c r="A33" s="53"/>
      <c r="B33" s="23"/>
      <c r="C33" s="23"/>
      <c r="D33" s="24"/>
      <c r="E33" s="23"/>
      <c r="F33" s="23"/>
      <c r="G33" s="24"/>
      <c r="I33" s="20"/>
      <c r="J33" s="20"/>
      <c r="K33" s="20"/>
      <c r="T33" s="43"/>
      <c r="U33" s="43"/>
      <c r="V33" s="43"/>
      <c r="W33" s="43"/>
      <c r="X33" s="43"/>
      <c r="Y33" s="43"/>
    </row>
    <row r="34" spans="1:25" ht="11.1" customHeight="1">
      <c r="A34" s="53"/>
      <c r="B34" s="23"/>
      <c r="C34" s="23"/>
      <c r="D34" s="24"/>
      <c r="E34" s="23"/>
      <c r="F34" s="23"/>
      <c r="G34" s="24"/>
      <c r="I34" s="20"/>
      <c r="J34" s="20"/>
      <c r="K34" s="20"/>
      <c r="T34" s="43"/>
      <c r="U34" s="43"/>
      <c r="V34" s="43"/>
      <c r="W34" s="43"/>
      <c r="X34" s="43"/>
      <c r="Y34" s="43"/>
    </row>
    <row r="35" spans="1:25" ht="11.1" customHeight="1">
      <c r="A35" s="53"/>
      <c r="B35" s="23"/>
      <c r="C35" s="23"/>
      <c r="D35" s="24"/>
      <c r="E35" s="23"/>
      <c r="F35" s="23"/>
      <c r="G35" s="24"/>
      <c r="I35" s="20"/>
      <c r="J35" s="20"/>
      <c r="K35" s="20"/>
      <c r="T35" s="43"/>
      <c r="U35" s="43"/>
      <c r="V35" s="43"/>
      <c r="W35" s="43"/>
      <c r="X35" s="43"/>
      <c r="Y35" s="43"/>
    </row>
    <row r="36" spans="1:25" ht="11.1" customHeight="1">
      <c r="A36" s="53"/>
      <c r="B36" s="23"/>
      <c r="C36" s="23"/>
      <c r="D36" s="24"/>
      <c r="E36" s="23"/>
      <c r="F36" s="23"/>
      <c r="G36" s="24"/>
      <c r="I36" s="20"/>
      <c r="J36" s="20"/>
      <c r="K36" s="20"/>
      <c r="T36" s="43"/>
      <c r="U36" s="43"/>
      <c r="V36" s="43"/>
      <c r="W36" s="43"/>
      <c r="X36" s="43"/>
      <c r="Y36" s="43"/>
    </row>
    <row r="37" spans="1:25" ht="11.1" customHeight="1">
      <c r="A37" s="53"/>
      <c r="B37" s="23"/>
      <c r="C37" s="23"/>
      <c r="D37" s="24"/>
      <c r="E37" s="23"/>
      <c r="F37" s="23"/>
      <c r="G37" s="24"/>
      <c r="I37" s="20"/>
      <c r="J37" s="20"/>
      <c r="K37" s="20"/>
      <c r="T37" s="43"/>
      <c r="U37" s="43"/>
      <c r="V37" s="43"/>
      <c r="W37" s="43"/>
      <c r="X37" s="43"/>
      <c r="Y37" s="43"/>
    </row>
    <row r="38" spans="1:25" ht="11.1" customHeight="1">
      <c r="A38" s="53"/>
      <c r="B38" s="23"/>
      <c r="C38" s="23"/>
      <c r="D38" s="24"/>
      <c r="E38" s="23"/>
      <c r="F38" s="23"/>
      <c r="G38" s="24"/>
      <c r="I38" s="20"/>
      <c r="J38" s="20"/>
      <c r="K38" s="20"/>
      <c r="T38" s="43"/>
      <c r="U38" s="43"/>
      <c r="V38" s="43"/>
      <c r="W38" s="43"/>
      <c r="X38" s="43"/>
      <c r="Y38" s="43"/>
    </row>
    <row r="39" spans="1:25" ht="11.1" customHeight="1">
      <c r="A39" s="53"/>
      <c r="B39" s="23"/>
      <c r="C39" s="23"/>
      <c r="D39" s="24"/>
      <c r="E39" s="23"/>
      <c r="F39" s="23"/>
      <c r="G39" s="24"/>
      <c r="I39" s="20"/>
      <c r="J39" s="20"/>
      <c r="K39" s="20"/>
      <c r="T39" s="43"/>
      <c r="U39" s="43"/>
      <c r="V39" s="43"/>
      <c r="W39" s="43"/>
      <c r="X39" s="43"/>
      <c r="Y39" s="43"/>
    </row>
    <row r="40" spans="1:25" ht="11.1" customHeight="1">
      <c r="A40" s="53"/>
      <c r="B40" s="23"/>
      <c r="C40" s="23"/>
      <c r="D40" s="24"/>
      <c r="E40" s="23"/>
      <c r="F40" s="23"/>
      <c r="G40" s="24"/>
      <c r="I40" s="20"/>
      <c r="J40" s="20"/>
      <c r="K40" s="20"/>
      <c r="T40" s="43"/>
      <c r="U40" s="43"/>
      <c r="V40" s="43"/>
      <c r="W40" s="43"/>
      <c r="X40" s="43"/>
      <c r="Y40" s="43"/>
    </row>
    <row r="41" spans="1:25" ht="11.1" customHeight="1">
      <c r="A41" s="53"/>
      <c r="B41" s="23"/>
      <c r="C41" s="23"/>
      <c r="D41" s="24"/>
      <c r="E41" s="23"/>
      <c r="F41" s="23"/>
      <c r="G41" s="24"/>
      <c r="I41" s="20"/>
      <c r="J41" s="20"/>
      <c r="K41" s="20"/>
      <c r="T41" s="43"/>
      <c r="U41" s="43"/>
      <c r="V41" s="43"/>
      <c r="W41" s="43"/>
      <c r="X41" s="43"/>
      <c r="Y41" s="43"/>
    </row>
    <row r="42" spans="1:25" ht="11.1" customHeight="1">
      <c r="A42" s="53"/>
      <c r="B42" s="23"/>
      <c r="C42" s="23"/>
      <c r="D42" s="24"/>
      <c r="E42" s="23"/>
      <c r="F42" s="23"/>
      <c r="G42" s="24"/>
      <c r="I42" s="20"/>
      <c r="J42" s="20"/>
      <c r="K42" s="20"/>
      <c r="P42" s="43"/>
      <c r="T42" s="43"/>
      <c r="U42" s="43"/>
      <c r="V42" s="43"/>
      <c r="W42" s="43"/>
      <c r="X42" s="43"/>
      <c r="Y42" s="43"/>
    </row>
    <row r="43" spans="1:25" ht="11.1" customHeight="1">
      <c r="A43" s="53"/>
      <c r="B43" s="23"/>
      <c r="C43" s="23"/>
      <c r="D43" s="24"/>
      <c r="E43" s="23"/>
      <c r="F43" s="23"/>
      <c r="G43" s="24"/>
      <c r="I43" s="20"/>
      <c r="J43" s="20"/>
      <c r="K43" s="20"/>
      <c r="P43" s="43"/>
      <c r="T43" s="43"/>
      <c r="U43" s="43"/>
      <c r="V43" s="43"/>
      <c r="W43" s="43"/>
      <c r="X43" s="43"/>
      <c r="Y43" s="43"/>
    </row>
    <row r="44" spans="1:25" ht="11.1" customHeight="1">
      <c r="A44" s="53"/>
      <c r="B44" s="23"/>
      <c r="C44" s="23"/>
      <c r="D44" s="24"/>
      <c r="E44" s="23"/>
      <c r="F44" s="23"/>
      <c r="G44" s="24"/>
      <c r="I44" s="20"/>
      <c r="J44" s="20"/>
      <c r="K44" s="20"/>
      <c r="T44" s="43"/>
      <c r="U44" s="43"/>
      <c r="V44" s="43"/>
      <c r="W44" s="43"/>
      <c r="X44" s="43"/>
      <c r="Y44" s="43"/>
    </row>
    <row r="45" spans="1:25" ht="11.1" customHeight="1">
      <c r="A45" s="53"/>
      <c r="B45" s="23"/>
      <c r="C45" s="23"/>
      <c r="D45" s="24"/>
      <c r="E45" s="23"/>
      <c r="F45" s="23"/>
      <c r="G45" s="24"/>
      <c r="I45" s="20"/>
      <c r="J45" s="20"/>
      <c r="K45" s="20"/>
    </row>
    <row r="46" spans="1:25" ht="11.1" customHeight="1">
      <c r="A46" s="53"/>
      <c r="B46" s="23"/>
      <c r="C46" s="23"/>
      <c r="D46" s="24"/>
      <c r="E46" s="23"/>
      <c r="F46" s="23"/>
      <c r="G46" s="24"/>
      <c r="I46" s="20"/>
      <c r="J46" s="20"/>
      <c r="K46" s="20"/>
    </row>
    <row r="47" spans="1:25" ht="11.1" customHeight="1">
      <c r="A47" s="53"/>
      <c r="B47" s="23"/>
      <c r="C47" s="23"/>
      <c r="D47" s="24"/>
      <c r="E47" s="23"/>
      <c r="F47" s="23"/>
      <c r="G47" s="24"/>
      <c r="I47" s="20"/>
      <c r="J47" s="20"/>
      <c r="K47" s="20"/>
    </row>
    <row r="48" spans="1:25" ht="11.1" customHeight="1">
      <c r="A48" s="53"/>
      <c r="B48" s="23"/>
      <c r="C48" s="23"/>
      <c r="D48" s="24"/>
      <c r="E48" s="23"/>
      <c r="F48" s="23"/>
      <c r="G48" s="24"/>
      <c r="I48" s="20"/>
      <c r="J48" s="20"/>
      <c r="K48" s="20"/>
    </row>
    <row r="49" spans="1:11" ht="11.1" customHeight="1">
      <c r="A49" s="53"/>
      <c r="B49" s="23"/>
      <c r="C49" s="23"/>
      <c r="D49" s="24"/>
      <c r="E49" s="23"/>
      <c r="F49" s="23"/>
      <c r="G49" s="24"/>
      <c r="I49" s="20"/>
      <c r="J49" s="20"/>
      <c r="K49" s="20"/>
    </row>
    <row r="50" spans="1:11" ht="11.1" customHeight="1">
      <c r="A50" s="53"/>
      <c r="B50" s="23"/>
      <c r="C50" s="23"/>
      <c r="D50" s="24"/>
      <c r="E50" s="23"/>
      <c r="F50" s="23"/>
      <c r="G50" s="24"/>
      <c r="I50" s="20"/>
      <c r="J50" s="20"/>
      <c r="K50" s="20"/>
    </row>
    <row r="51" spans="1:11" ht="11.1" customHeight="1">
      <c r="A51" s="53"/>
      <c r="B51" s="23"/>
      <c r="C51" s="23"/>
      <c r="D51" s="24"/>
      <c r="E51" s="23"/>
      <c r="F51" s="23"/>
      <c r="G51" s="24"/>
      <c r="I51" s="20"/>
      <c r="J51" s="20"/>
      <c r="K51" s="20"/>
    </row>
    <row r="52" spans="1:11" ht="11.1" customHeight="1">
      <c r="B52" s="20"/>
      <c r="C52" s="20"/>
      <c r="D52" s="20"/>
      <c r="E52" s="20"/>
      <c r="F52" s="20"/>
      <c r="G52" s="20"/>
      <c r="H52" s="20"/>
      <c r="I52" s="20"/>
      <c r="J52" s="20"/>
      <c r="K52" s="20"/>
    </row>
    <row r="53" spans="1:11" ht="11.1" customHeight="1">
      <c r="B53" s="20"/>
      <c r="C53" s="20"/>
      <c r="D53" s="20"/>
      <c r="E53" s="20"/>
      <c r="F53" s="20"/>
      <c r="G53" s="20"/>
      <c r="H53" s="20"/>
      <c r="I53" s="20"/>
      <c r="J53" s="20"/>
      <c r="K53" s="20"/>
    </row>
    <row r="54" spans="1:11" ht="11.1" customHeight="1">
      <c r="B54" s="20"/>
      <c r="C54" s="20"/>
      <c r="D54" s="20"/>
      <c r="E54" s="20"/>
      <c r="F54" s="20"/>
      <c r="G54" s="20"/>
      <c r="H54" s="20"/>
      <c r="I54" s="20"/>
      <c r="J54" s="20"/>
      <c r="K54" s="20"/>
    </row>
    <row r="55" spans="1:11" ht="11.1" customHeight="1">
      <c r="B55" s="20"/>
      <c r="C55" s="20"/>
      <c r="D55" s="20"/>
      <c r="E55" s="20"/>
      <c r="F55" s="20"/>
      <c r="G55" s="20"/>
      <c r="H55" s="20"/>
      <c r="I55" s="20"/>
      <c r="J55" s="20"/>
      <c r="K55" s="20"/>
    </row>
    <row r="56" spans="1:11" ht="11.1" customHeight="1">
      <c r="B56" s="20"/>
      <c r="C56" s="20"/>
      <c r="D56" s="20"/>
      <c r="E56" s="20"/>
      <c r="F56" s="20"/>
      <c r="G56" s="20"/>
      <c r="H56" s="20"/>
      <c r="I56" s="20"/>
      <c r="J56" s="20"/>
      <c r="K56" s="20"/>
    </row>
    <row r="57" spans="1:11" ht="11.1" customHeight="1">
      <c r="B57" s="20"/>
      <c r="C57" s="20"/>
      <c r="D57" s="20"/>
      <c r="E57" s="20"/>
      <c r="F57" s="20"/>
      <c r="G57" s="20"/>
      <c r="H57" s="20"/>
      <c r="I57" s="20"/>
      <c r="J57" s="20"/>
      <c r="K57" s="20"/>
    </row>
    <row r="58" spans="1:11" ht="11.1" customHeight="1">
      <c r="B58" s="20"/>
      <c r="C58" s="20"/>
      <c r="D58" s="20"/>
      <c r="E58" s="20"/>
      <c r="F58" s="20"/>
      <c r="G58" s="20"/>
      <c r="H58" s="20"/>
      <c r="I58" s="20"/>
      <c r="J58" s="20"/>
      <c r="K58" s="20"/>
    </row>
    <row r="59" spans="1:11" ht="11.1" customHeight="1">
      <c r="B59" s="20"/>
      <c r="C59" s="20"/>
      <c r="D59" s="20"/>
      <c r="E59" s="20"/>
      <c r="F59" s="20"/>
      <c r="G59" s="20"/>
      <c r="H59" s="20"/>
      <c r="I59" s="20"/>
      <c r="J59" s="20"/>
      <c r="K59" s="20"/>
    </row>
    <row r="60" spans="1:11" ht="11.1" customHeight="1">
      <c r="B60" s="20"/>
      <c r="C60" s="20"/>
      <c r="D60" s="20"/>
      <c r="E60" s="20"/>
      <c r="F60" s="20"/>
      <c r="G60" s="20"/>
      <c r="H60" s="20"/>
      <c r="I60" s="20"/>
      <c r="J60" s="20"/>
      <c r="K60" s="20"/>
    </row>
    <row r="61" spans="1:11" ht="11.1" customHeight="1">
      <c r="B61" s="20"/>
      <c r="C61" s="20"/>
      <c r="D61" s="20"/>
      <c r="E61" s="20"/>
      <c r="F61" s="20"/>
      <c r="G61" s="20"/>
      <c r="H61" s="20"/>
      <c r="I61" s="20"/>
      <c r="J61" s="20"/>
      <c r="K61" s="20"/>
    </row>
    <row r="62" spans="1:11" ht="11.1" customHeight="1">
      <c r="B62" s="20"/>
      <c r="C62" s="20"/>
      <c r="D62" s="20"/>
      <c r="E62" s="20"/>
      <c r="F62" s="20"/>
      <c r="G62" s="20"/>
      <c r="H62" s="20"/>
      <c r="I62" s="20"/>
      <c r="J62" s="20"/>
      <c r="K62" s="20"/>
    </row>
    <row r="63" spans="1:11" ht="11.1" customHeight="1">
      <c r="B63" s="20"/>
      <c r="C63" s="20"/>
      <c r="D63" s="20"/>
      <c r="E63" s="20"/>
      <c r="F63" s="20"/>
      <c r="G63" s="20"/>
      <c r="H63" s="20"/>
      <c r="I63" s="20"/>
      <c r="J63" s="20"/>
      <c r="K63" s="20"/>
    </row>
    <row r="64" spans="1:11" ht="11.1" customHeight="1">
      <c r="B64" s="20"/>
      <c r="C64" s="20"/>
      <c r="D64" s="20"/>
      <c r="E64" s="20"/>
      <c r="F64" s="20"/>
      <c r="G64" s="20"/>
      <c r="H64" s="20"/>
      <c r="I64" s="20"/>
      <c r="J64" s="20"/>
      <c r="K64" s="20"/>
    </row>
    <row r="65" spans="2:11" ht="11.1" customHeight="1">
      <c r="B65" s="20"/>
      <c r="C65" s="20"/>
      <c r="D65" s="20"/>
      <c r="E65" s="20"/>
      <c r="F65" s="20"/>
      <c r="G65" s="20"/>
      <c r="H65" s="20"/>
      <c r="I65" s="20"/>
      <c r="J65" s="20"/>
      <c r="K65" s="20"/>
    </row>
    <row r="66" spans="2:11" ht="11.1" customHeight="1">
      <c r="B66" s="20"/>
      <c r="C66" s="20"/>
      <c r="D66" s="20"/>
      <c r="E66" s="20"/>
      <c r="F66" s="20"/>
      <c r="G66" s="20"/>
      <c r="H66" s="20"/>
      <c r="I66" s="20"/>
      <c r="J66" s="20"/>
      <c r="K66" s="20"/>
    </row>
    <row r="67" spans="2:11" ht="11.1" customHeight="1">
      <c r="B67" s="20"/>
      <c r="C67" s="20"/>
      <c r="D67" s="20"/>
      <c r="E67" s="20"/>
      <c r="F67" s="20"/>
      <c r="G67" s="20"/>
      <c r="H67" s="20"/>
      <c r="I67" s="20"/>
      <c r="J67" s="20"/>
      <c r="K67" s="20"/>
    </row>
    <row r="68" spans="2:11" ht="11.1" customHeight="1">
      <c r="B68" s="20"/>
      <c r="C68" s="20"/>
      <c r="D68" s="20"/>
      <c r="E68" s="20"/>
      <c r="F68" s="20"/>
      <c r="G68" s="20"/>
      <c r="H68" s="20"/>
      <c r="I68" s="20"/>
      <c r="J68" s="20"/>
      <c r="K68" s="20"/>
    </row>
    <row r="69" spans="2:11" ht="11.1" customHeight="1">
      <c r="B69" s="20"/>
      <c r="C69" s="20"/>
      <c r="D69" s="20"/>
      <c r="E69" s="20"/>
      <c r="F69" s="20"/>
      <c r="G69" s="20"/>
      <c r="H69" s="20"/>
      <c r="I69" s="20"/>
      <c r="J69" s="20"/>
      <c r="K69" s="20"/>
    </row>
    <row r="70" spans="2:11" ht="11.1" customHeight="1">
      <c r="B70" s="20"/>
      <c r="C70" s="20"/>
      <c r="D70" s="20"/>
      <c r="E70" s="20"/>
      <c r="F70" s="20"/>
      <c r="G70" s="20"/>
      <c r="H70" s="20"/>
      <c r="I70" s="20"/>
      <c r="J70" s="20"/>
      <c r="K70" s="20"/>
    </row>
    <row r="71" spans="2:11" ht="11.1" customHeight="1">
      <c r="B71" s="20"/>
      <c r="C71" s="20"/>
      <c r="D71" s="20"/>
      <c r="E71" s="20"/>
      <c r="F71" s="20"/>
      <c r="G71" s="20"/>
      <c r="H71" s="20"/>
      <c r="I71" s="20"/>
      <c r="J71" s="20"/>
      <c r="K71" s="20"/>
    </row>
    <row r="72" spans="2:11" ht="11.1" customHeight="1">
      <c r="B72" s="20"/>
      <c r="C72" s="20"/>
      <c r="D72" s="20"/>
      <c r="E72" s="20"/>
      <c r="F72" s="20"/>
      <c r="G72" s="20"/>
      <c r="H72" s="20"/>
      <c r="I72" s="20"/>
      <c r="J72" s="20"/>
      <c r="K72" s="20"/>
    </row>
    <row r="73" spans="2:11" ht="11.1" customHeight="1">
      <c r="B73" s="20"/>
      <c r="C73" s="20"/>
      <c r="D73" s="20"/>
      <c r="E73" s="20"/>
      <c r="F73" s="20"/>
      <c r="G73" s="20"/>
      <c r="H73" s="20"/>
      <c r="I73" s="20"/>
      <c r="J73" s="20"/>
      <c r="K73" s="20"/>
    </row>
    <row r="74" spans="2:11" ht="11.1" customHeight="1">
      <c r="B74" s="20"/>
      <c r="C74" s="20"/>
      <c r="D74" s="20"/>
      <c r="E74" s="20"/>
      <c r="F74" s="20"/>
      <c r="G74" s="20"/>
      <c r="H74" s="20"/>
      <c r="I74" s="20"/>
      <c r="J74" s="20"/>
      <c r="K74" s="20"/>
    </row>
    <row r="75" spans="2:11" ht="11.1" customHeight="1">
      <c r="B75" s="20"/>
      <c r="C75" s="20"/>
      <c r="D75" s="20"/>
      <c r="E75" s="20"/>
      <c r="F75" s="20"/>
      <c r="G75" s="20"/>
      <c r="H75" s="20"/>
      <c r="I75" s="20"/>
      <c r="J75" s="20"/>
      <c r="K75" s="20"/>
    </row>
    <row r="76" spans="2:11" ht="11.1" customHeight="1">
      <c r="B76" s="20"/>
      <c r="C76" s="20"/>
      <c r="D76" s="20"/>
      <c r="E76" s="20"/>
      <c r="F76" s="20"/>
      <c r="G76" s="20"/>
      <c r="H76" s="20"/>
      <c r="I76" s="20"/>
      <c r="J76" s="20"/>
      <c r="K76" s="20"/>
    </row>
    <row r="77" spans="2:11" ht="11.1" customHeight="1">
      <c r="B77" s="20"/>
      <c r="C77" s="20"/>
      <c r="D77" s="20"/>
      <c r="E77" s="20"/>
      <c r="F77" s="20"/>
      <c r="G77" s="20"/>
      <c r="H77" s="20"/>
      <c r="I77" s="20"/>
      <c r="J77" s="20"/>
      <c r="K77" s="20"/>
    </row>
    <row r="78" spans="2:11" ht="11.1" customHeight="1">
      <c r="B78" s="20"/>
      <c r="C78" s="20"/>
      <c r="D78" s="20"/>
      <c r="E78" s="20"/>
      <c r="F78" s="20"/>
      <c r="G78" s="20"/>
      <c r="H78" s="20"/>
      <c r="I78" s="20"/>
      <c r="J78" s="20"/>
      <c r="K78" s="20"/>
    </row>
    <row r="79" spans="2:11" ht="11.1" customHeight="1">
      <c r="B79" s="20"/>
      <c r="C79" s="20"/>
      <c r="D79" s="20"/>
      <c r="E79" s="20"/>
      <c r="F79" s="20"/>
      <c r="G79" s="20"/>
      <c r="H79" s="20"/>
      <c r="I79" s="20"/>
      <c r="J79" s="20"/>
      <c r="K79" s="20"/>
    </row>
    <row r="80" spans="2:11" ht="11.1" customHeight="1">
      <c r="B80" s="20"/>
      <c r="C80" s="20"/>
      <c r="D80" s="20"/>
      <c r="E80" s="20"/>
      <c r="F80" s="20"/>
      <c r="G80" s="20"/>
      <c r="H80" s="20"/>
      <c r="I80" s="20"/>
      <c r="J80" s="20"/>
      <c r="K80" s="20"/>
    </row>
    <row r="81" spans="2:11" ht="11.1" customHeight="1">
      <c r="B81" s="20"/>
      <c r="C81" s="20"/>
      <c r="D81" s="20"/>
      <c r="E81" s="20"/>
      <c r="F81" s="20"/>
      <c r="G81" s="20"/>
      <c r="H81" s="20"/>
      <c r="I81" s="20"/>
      <c r="J81" s="20"/>
      <c r="K81" s="20"/>
    </row>
    <row r="82" spans="2:11" ht="11.1" customHeight="1">
      <c r="B82" s="20"/>
      <c r="C82" s="20"/>
      <c r="D82" s="20"/>
      <c r="E82" s="20"/>
      <c r="F82" s="20"/>
      <c r="G82" s="20"/>
      <c r="H82" s="20"/>
      <c r="I82" s="20"/>
      <c r="J82" s="20"/>
      <c r="K82" s="20"/>
    </row>
    <row r="83" spans="2:11" ht="11.1" customHeight="1">
      <c r="B83" s="20"/>
      <c r="C83" s="20"/>
      <c r="D83" s="20"/>
      <c r="E83" s="20"/>
      <c r="F83" s="20"/>
      <c r="G83" s="20"/>
      <c r="H83" s="20"/>
      <c r="I83" s="20"/>
      <c r="J83" s="20"/>
      <c r="K83" s="20"/>
    </row>
    <row r="84" spans="2:11" ht="11.1" customHeight="1">
      <c r="B84" s="20"/>
      <c r="C84" s="20"/>
      <c r="D84" s="20"/>
      <c r="E84" s="20"/>
      <c r="F84" s="20"/>
      <c r="G84" s="20"/>
      <c r="H84" s="20"/>
      <c r="I84" s="20"/>
      <c r="J84" s="20"/>
      <c r="K84" s="20"/>
    </row>
    <row r="85" spans="2:11" ht="11.1" customHeight="1">
      <c r="B85" s="20"/>
      <c r="C85" s="20"/>
      <c r="D85" s="20"/>
      <c r="E85" s="20"/>
      <c r="F85" s="20"/>
      <c r="G85" s="20"/>
      <c r="H85" s="20"/>
      <c r="I85" s="20"/>
      <c r="J85" s="20"/>
      <c r="K85" s="20"/>
    </row>
    <row r="86" spans="2:11" ht="11.1" customHeight="1">
      <c r="B86" s="20"/>
      <c r="C86" s="20"/>
      <c r="D86" s="20"/>
      <c r="E86" s="20"/>
      <c r="F86" s="20"/>
      <c r="G86" s="20"/>
      <c r="H86" s="20"/>
      <c r="I86" s="20"/>
      <c r="J86" s="20"/>
      <c r="K86" s="20"/>
    </row>
    <row r="87" spans="2:11" ht="11.1" customHeight="1">
      <c r="B87" s="20"/>
      <c r="C87" s="20"/>
      <c r="D87" s="20"/>
      <c r="E87" s="20"/>
      <c r="F87" s="20"/>
      <c r="G87" s="20"/>
      <c r="H87" s="20"/>
      <c r="I87" s="20"/>
      <c r="J87" s="20"/>
      <c r="K87" s="20"/>
    </row>
    <row r="88" spans="2:11" ht="11.1" customHeight="1">
      <c r="B88" s="20"/>
      <c r="C88" s="20"/>
      <c r="D88" s="20"/>
      <c r="E88" s="20"/>
      <c r="F88" s="20"/>
      <c r="G88" s="20"/>
      <c r="H88" s="20"/>
      <c r="I88" s="20"/>
      <c r="J88" s="20"/>
      <c r="K88" s="20"/>
    </row>
    <row r="89" spans="2:11" ht="11.1" customHeight="1">
      <c r="B89" s="20"/>
      <c r="C89" s="20"/>
      <c r="D89" s="20"/>
      <c r="E89" s="20"/>
      <c r="F89" s="20"/>
      <c r="G89" s="20"/>
      <c r="H89" s="20"/>
      <c r="I89" s="20"/>
      <c r="J89" s="20"/>
      <c r="K89" s="20"/>
    </row>
    <row r="90" spans="2:11" ht="11.1" customHeight="1">
      <c r="B90" s="20"/>
      <c r="C90" s="20"/>
      <c r="D90" s="20"/>
      <c r="E90" s="20"/>
      <c r="F90" s="20"/>
      <c r="G90" s="20"/>
      <c r="H90" s="20"/>
      <c r="I90" s="20"/>
      <c r="J90" s="20"/>
      <c r="K90" s="20"/>
    </row>
    <row r="91" spans="2:11" ht="11.1" customHeight="1">
      <c r="B91" s="20"/>
      <c r="C91" s="20"/>
      <c r="D91" s="20"/>
      <c r="E91" s="20"/>
      <c r="F91" s="20"/>
      <c r="G91" s="20"/>
      <c r="H91" s="20"/>
      <c r="I91" s="20"/>
      <c r="J91" s="20"/>
      <c r="K91" s="20"/>
    </row>
    <row r="92" spans="2:11" ht="11.1" customHeight="1">
      <c r="B92" s="20"/>
      <c r="C92" s="20"/>
      <c r="D92" s="20"/>
      <c r="E92" s="20"/>
      <c r="F92" s="20"/>
      <c r="G92" s="20"/>
      <c r="H92" s="20"/>
      <c r="I92" s="20"/>
      <c r="J92" s="20"/>
      <c r="K92" s="20"/>
    </row>
    <row r="93" spans="2:11" ht="11.1" customHeight="1">
      <c r="B93" s="20"/>
      <c r="C93" s="20"/>
      <c r="D93" s="20"/>
      <c r="E93" s="20"/>
      <c r="F93" s="20"/>
      <c r="G93" s="20"/>
      <c r="H93" s="20"/>
      <c r="I93" s="20"/>
      <c r="J93" s="20"/>
      <c r="K93" s="20"/>
    </row>
    <row r="94" spans="2:11" ht="11.1" customHeight="1">
      <c r="B94" s="20"/>
      <c r="C94" s="20"/>
      <c r="D94" s="20"/>
      <c r="E94" s="20"/>
      <c r="F94" s="20"/>
      <c r="G94" s="20"/>
      <c r="H94" s="20"/>
      <c r="I94" s="20"/>
      <c r="J94" s="20"/>
      <c r="K94" s="20"/>
    </row>
    <row r="95" spans="2:11" ht="11.1" customHeight="1">
      <c r="B95" s="20"/>
      <c r="C95" s="20"/>
      <c r="D95" s="20"/>
      <c r="E95" s="20"/>
      <c r="F95" s="20"/>
      <c r="G95" s="20"/>
      <c r="H95" s="20"/>
      <c r="I95" s="20"/>
      <c r="J95" s="20"/>
      <c r="K95" s="20"/>
    </row>
    <row r="96" spans="2:11" ht="11.1" customHeight="1">
      <c r="B96" s="20"/>
      <c r="C96" s="20"/>
      <c r="D96" s="20"/>
      <c r="E96" s="20"/>
      <c r="F96" s="20"/>
      <c r="G96" s="20"/>
      <c r="H96" s="20"/>
      <c r="I96" s="20"/>
      <c r="J96" s="20"/>
      <c r="K96" s="20"/>
    </row>
    <row r="97" spans="2:11" ht="11.1" customHeight="1">
      <c r="B97" s="20"/>
      <c r="C97" s="20"/>
      <c r="D97" s="20"/>
      <c r="E97" s="20"/>
      <c r="F97" s="20"/>
      <c r="G97" s="20"/>
      <c r="H97" s="20"/>
      <c r="I97" s="20"/>
      <c r="J97" s="20"/>
      <c r="K97" s="20"/>
    </row>
    <row r="98" spans="2:11" ht="11.1" customHeight="1">
      <c r="B98" s="20"/>
      <c r="C98" s="20"/>
      <c r="D98" s="20"/>
      <c r="E98" s="20"/>
      <c r="F98" s="20"/>
      <c r="G98" s="20"/>
      <c r="H98" s="20"/>
      <c r="I98" s="20"/>
      <c r="J98" s="20"/>
      <c r="K98" s="20"/>
    </row>
    <row r="99" spans="2:11" ht="11.1" customHeight="1">
      <c r="B99" s="20"/>
      <c r="C99" s="20"/>
      <c r="D99" s="20"/>
      <c r="E99" s="20"/>
      <c r="F99" s="20"/>
      <c r="G99" s="20"/>
      <c r="H99" s="20"/>
      <c r="I99" s="20"/>
      <c r="J99" s="20"/>
      <c r="K99" s="20"/>
    </row>
    <row r="100" spans="2:11" ht="11.1" customHeight="1">
      <c r="B100" s="20"/>
      <c r="C100" s="20"/>
      <c r="D100" s="20"/>
      <c r="E100" s="20"/>
      <c r="F100" s="20"/>
      <c r="G100" s="20"/>
      <c r="H100" s="20"/>
      <c r="I100" s="20"/>
      <c r="J100" s="20"/>
      <c r="K100" s="20"/>
    </row>
    <row r="101" spans="2:11" ht="11.1" customHeight="1">
      <c r="B101" s="20"/>
      <c r="C101" s="20"/>
      <c r="D101" s="20"/>
      <c r="E101" s="20"/>
      <c r="F101" s="20"/>
      <c r="G101" s="20"/>
      <c r="H101" s="20"/>
      <c r="I101" s="20"/>
      <c r="J101" s="20"/>
      <c r="K101" s="20"/>
    </row>
    <row r="102" spans="2:11" ht="11.1" customHeight="1">
      <c r="B102" s="20"/>
      <c r="C102" s="20"/>
      <c r="D102" s="20"/>
      <c r="E102" s="20"/>
      <c r="F102" s="20"/>
      <c r="G102" s="20"/>
      <c r="H102" s="20"/>
      <c r="I102" s="20"/>
      <c r="J102" s="20"/>
      <c r="K102" s="20"/>
    </row>
    <row r="103" spans="2:11" ht="11.1" customHeight="1">
      <c r="B103" s="20"/>
      <c r="C103" s="20"/>
      <c r="D103" s="20"/>
      <c r="E103" s="20"/>
      <c r="F103" s="20"/>
      <c r="G103" s="20"/>
      <c r="H103" s="20"/>
      <c r="I103" s="20"/>
      <c r="J103" s="20"/>
      <c r="K103" s="20"/>
    </row>
    <row r="104" spans="2:11" ht="11.1" customHeight="1">
      <c r="B104" s="20"/>
      <c r="C104" s="20"/>
      <c r="D104" s="20"/>
      <c r="E104" s="20"/>
      <c r="F104" s="20"/>
      <c r="G104" s="20"/>
      <c r="H104" s="20"/>
      <c r="I104" s="20"/>
      <c r="J104" s="20"/>
      <c r="K104" s="20"/>
    </row>
    <row r="105" spans="2:11" ht="11.1" customHeight="1">
      <c r="B105" s="20"/>
      <c r="C105" s="20"/>
      <c r="D105" s="20"/>
      <c r="E105" s="20"/>
      <c r="F105" s="20"/>
      <c r="G105" s="20"/>
      <c r="H105" s="20"/>
      <c r="I105" s="20"/>
      <c r="J105" s="20"/>
      <c r="K105" s="20"/>
    </row>
    <row r="106" spans="2:11" ht="11.1" customHeight="1">
      <c r="B106" s="20"/>
      <c r="C106" s="20"/>
      <c r="D106" s="20"/>
      <c r="E106" s="20"/>
      <c r="F106" s="20"/>
      <c r="G106" s="20"/>
      <c r="H106" s="20"/>
      <c r="I106" s="20"/>
      <c r="J106" s="20"/>
      <c r="K106" s="20"/>
    </row>
    <row r="107" spans="2:11" ht="11.1" customHeight="1">
      <c r="B107" s="20"/>
      <c r="C107" s="20"/>
      <c r="D107" s="20"/>
      <c r="E107" s="20"/>
      <c r="F107" s="20"/>
      <c r="G107" s="20"/>
      <c r="H107" s="20"/>
      <c r="I107" s="20"/>
      <c r="J107" s="20"/>
      <c r="K107" s="20"/>
    </row>
    <row r="108" spans="2:11" ht="11.1" customHeight="1">
      <c r="B108" s="20"/>
      <c r="C108" s="20"/>
      <c r="D108" s="20"/>
      <c r="E108" s="20"/>
      <c r="F108" s="20"/>
      <c r="G108" s="20"/>
      <c r="H108" s="20"/>
      <c r="I108" s="20"/>
      <c r="J108" s="20"/>
      <c r="K108" s="20"/>
    </row>
    <row r="109" spans="2:11" ht="11.1" customHeight="1">
      <c r="B109" s="20"/>
      <c r="C109" s="20"/>
      <c r="D109" s="20"/>
      <c r="E109" s="20"/>
      <c r="F109" s="20"/>
      <c r="G109" s="20"/>
      <c r="H109" s="20"/>
      <c r="I109" s="20"/>
      <c r="J109" s="20"/>
      <c r="K109" s="20"/>
    </row>
    <row r="110" spans="2:11" ht="11.1" customHeight="1">
      <c r="B110" s="20"/>
      <c r="C110" s="20"/>
      <c r="D110" s="20"/>
      <c r="E110" s="20"/>
      <c r="F110" s="20"/>
      <c r="G110" s="20"/>
      <c r="H110" s="20"/>
      <c r="I110" s="20"/>
      <c r="J110" s="20"/>
      <c r="K110" s="20"/>
    </row>
    <row r="111" spans="2:11" ht="11.1" customHeight="1">
      <c r="B111" s="20"/>
      <c r="C111" s="20"/>
      <c r="D111" s="20"/>
      <c r="E111" s="20"/>
      <c r="F111" s="20"/>
      <c r="G111" s="20"/>
      <c r="H111" s="20"/>
      <c r="I111" s="20"/>
      <c r="J111" s="20"/>
      <c r="K111" s="20"/>
    </row>
    <row r="112" spans="2:11" ht="11.1" customHeight="1">
      <c r="B112" s="20"/>
      <c r="C112" s="20"/>
      <c r="D112" s="20"/>
      <c r="E112" s="20"/>
      <c r="F112" s="20"/>
      <c r="G112" s="20"/>
      <c r="H112" s="20"/>
      <c r="I112" s="20"/>
      <c r="J112" s="20"/>
      <c r="K112" s="20"/>
    </row>
    <row r="113" spans="2:11" ht="11.1" customHeight="1">
      <c r="B113" s="20"/>
      <c r="C113" s="20"/>
      <c r="D113" s="20"/>
      <c r="E113" s="20"/>
      <c r="F113" s="20"/>
      <c r="G113" s="20"/>
      <c r="H113" s="20"/>
      <c r="I113" s="20"/>
      <c r="J113" s="20"/>
      <c r="K113" s="20"/>
    </row>
    <row r="114" spans="2:11" ht="11.1" customHeight="1">
      <c r="B114" s="20"/>
      <c r="C114" s="20"/>
      <c r="D114" s="20"/>
      <c r="E114" s="20"/>
      <c r="F114" s="20"/>
      <c r="G114" s="20"/>
      <c r="H114" s="20"/>
      <c r="I114" s="20"/>
      <c r="J114" s="20"/>
      <c r="K114" s="20"/>
    </row>
    <row r="115" spans="2:11" ht="11.1" customHeight="1">
      <c r="B115" s="20"/>
      <c r="C115" s="20"/>
      <c r="D115" s="20"/>
      <c r="E115" s="20"/>
      <c r="F115" s="20"/>
      <c r="G115" s="20"/>
      <c r="H115" s="20"/>
      <c r="I115" s="20"/>
      <c r="J115" s="20"/>
      <c r="K115" s="20"/>
    </row>
    <row r="116" spans="2:11" ht="11.1" customHeight="1">
      <c r="B116" s="20"/>
      <c r="C116" s="20"/>
      <c r="D116" s="20"/>
      <c r="E116" s="20"/>
      <c r="F116" s="20"/>
      <c r="G116" s="20"/>
      <c r="H116" s="20"/>
      <c r="I116" s="20"/>
      <c r="J116" s="20"/>
      <c r="K116" s="20"/>
    </row>
    <row r="117" spans="2:11" ht="11.1" customHeight="1">
      <c r="B117" s="20"/>
      <c r="C117" s="20"/>
      <c r="D117" s="20"/>
      <c r="E117" s="20"/>
      <c r="F117" s="20"/>
      <c r="G117" s="20"/>
      <c r="H117" s="20"/>
      <c r="I117" s="20"/>
      <c r="J117" s="20"/>
      <c r="K117" s="20"/>
    </row>
    <row r="118" spans="2:11" ht="11.1" customHeight="1">
      <c r="B118" s="20"/>
      <c r="C118" s="20"/>
      <c r="D118" s="20"/>
      <c r="E118" s="20"/>
      <c r="F118" s="20"/>
      <c r="G118" s="20"/>
      <c r="H118" s="20"/>
      <c r="I118" s="20"/>
      <c r="J118" s="20"/>
      <c r="K118" s="20"/>
    </row>
    <row r="119" spans="2:11" ht="11.1" customHeight="1">
      <c r="B119" s="20"/>
      <c r="C119" s="20"/>
      <c r="D119" s="20"/>
      <c r="E119" s="20"/>
      <c r="F119" s="20"/>
      <c r="G119" s="20"/>
      <c r="H119" s="20"/>
      <c r="I119" s="20"/>
      <c r="J119" s="20"/>
      <c r="K119" s="20"/>
    </row>
    <row r="120" spans="2:11" ht="11.1" customHeight="1">
      <c r="B120" s="20"/>
      <c r="C120" s="20"/>
      <c r="D120" s="20"/>
      <c r="E120" s="20"/>
      <c r="F120" s="20"/>
      <c r="G120" s="20"/>
      <c r="H120" s="20"/>
      <c r="I120" s="20"/>
      <c r="J120" s="20"/>
      <c r="K120" s="20"/>
    </row>
    <row r="121" spans="2:11" ht="11.1" customHeight="1">
      <c r="B121" s="20"/>
      <c r="C121" s="20"/>
      <c r="D121" s="20"/>
      <c r="E121" s="20"/>
      <c r="F121" s="20"/>
      <c r="G121" s="20"/>
      <c r="H121" s="20"/>
      <c r="I121" s="20"/>
      <c r="J121" s="20"/>
      <c r="K121" s="20"/>
    </row>
    <row r="122" spans="2:11" ht="11.1" customHeight="1">
      <c r="B122" s="20"/>
      <c r="C122" s="20"/>
      <c r="D122" s="20"/>
      <c r="E122" s="20"/>
      <c r="F122" s="20"/>
      <c r="G122" s="20"/>
      <c r="H122" s="20"/>
      <c r="I122" s="20"/>
      <c r="J122" s="20"/>
      <c r="K122" s="20"/>
    </row>
    <row r="123" spans="2:11" ht="11.1" customHeight="1">
      <c r="B123" s="20"/>
      <c r="C123" s="20"/>
      <c r="D123" s="20"/>
      <c r="E123" s="20"/>
      <c r="F123" s="20"/>
      <c r="G123" s="20"/>
      <c r="H123" s="20"/>
      <c r="I123" s="20"/>
      <c r="J123" s="20"/>
      <c r="K123" s="20"/>
    </row>
    <row r="124" spans="2:11" ht="11.1" customHeight="1">
      <c r="B124" s="20"/>
      <c r="C124" s="20"/>
      <c r="D124" s="20"/>
      <c r="E124" s="20"/>
      <c r="F124" s="20"/>
      <c r="G124" s="20"/>
      <c r="H124" s="20"/>
      <c r="I124" s="20"/>
      <c r="J124" s="20"/>
      <c r="K124" s="20"/>
    </row>
    <row r="125" spans="2:11" ht="11.1" customHeight="1">
      <c r="B125" s="20"/>
      <c r="C125" s="20"/>
      <c r="D125" s="20"/>
      <c r="E125" s="20"/>
      <c r="F125" s="20"/>
      <c r="G125" s="20"/>
      <c r="H125" s="20"/>
      <c r="I125" s="20"/>
      <c r="J125" s="20"/>
      <c r="K125" s="20"/>
    </row>
    <row r="126" spans="2:11" ht="11.1" customHeight="1">
      <c r="B126" s="20"/>
      <c r="C126" s="20"/>
      <c r="D126" s="20"/>
      <c r="E126" s="20"/>
      <c r="F126" s="20"/>
      <c r="G126" s="20"/>
      <c r="H126" s="20"/>
      <c r="I126" s="20"/>
      <c r="J126" s="20"/>
      <c r="K126" s="20"/>
    </row>
    <row r="127" spans="2:11" ht="11.1" customHeight="1">
      <c r="B127" s="20"/>
      <c r="C127" s="20"/>
      <c r="D127" s="20"/>
      <c r="E127" s="20"/>
      <c r="F127" s="20"/>
      <c r="G127" s="20"/>
      <c r="H127" s="20"/>
      <c r="I127" s="20"/>
      <c r="J127" s="20"/>
      <c r="K127" s="20"/>
    </row>
    <row r="128" spans="2:11" ht="11.1" customHeight="1">
      <c r="B128" s="20"/>
      <c r="C128" s="20"/>
      <c r="D128" s="20"/>
      <c r="E128" s="20"/>
      <c r="F128" s="20"/>
      <c r="G128" s="20"/>
      <c r="H128" s="20"/>
      <c r="I128" s="20"/>
      <c r="J128" s="20"/>
      <c r="K128" s="20"/>
    </row>
    <row r="129" spans="2:11" ht="11.1" customHeight="1">
      <c r="B129" s="20"/>
      <c r="C129" s="20"/>
      <c r="D129" s="20"/>
      <c r="E129" s="20"/>
      <c r="F129" s="20"/>
      <c r="G129" s="20"/>
      <c r="H129" s="20"/>
      <c r="I129" s="20"/>
      <c r="J129" s="20"/>
      <c r="K129" s="20"/>
    </row>
    <row r="130" spans="2:11" ht="11.1" customHeight="1">
      <c r="B130" s="20"/>
      <c r="C130" s="20"/>
      <c r="D130" s="20"/>
      <c r="E130" s="20"/>
      <c r="F130" s="20"/>
      <c r="G130" s="20"/>
      <c r="H130" s="20"/>
      <c r="I130" s="20"/>
      <c r="J130" s="20"/>
      <c r="K130" s="20"/>
    </row>
    <row r="131" spans="2:11" ht="11.1" customHeight="1">
      <c r="B131" s="20"/>
      <c r="C131" s="20"/>
      <c r="D131" s="20"/>
      <c r="E131" s="20"/>
      <c r="F131" s="20"/>
      <c r="G131" s="20"/>
      <c r="H131" s="20"/>
      <c r="I131" s="20"/>
      <c r="J131" s="20"/>
      <c r="K131" s="20"/>
    </row>
    <row r="132" spans="2:11" ht="11.1" customHeight="1">
      <c r="B132" s="20"/>
      <c r="C132" s="20"/>
      <c r="D132" s="20"/>
      <c r="E132" s="20"/>
      <c r="F132" s="20"/>
      <c r="G132" s="20"/>
      <c r="H132" s="20"/>
      <c r="I132" s="20"/>
      <c r="J132" s="20"/>
      <c r="K132" s="20"/>
    </row>
    <row r="133" spans="2:11" ht="11.1" customHeight="1">
      <c r="B133" s="20"/>
      <c r="C133" s="20"/>
      <c r="D133" s="20"/>
      <c r="E133" s="20"/>
      <c r="F133" s="20"/>
      <c r="G133" s="20"/>
      <c r="H133" s="20"/>
      <c r="I133" s="20"/>
      <c r="J133" s="20"/>
      <c r="K133" s="20"/>
    </row>
    <row r="134" spans="2:11" ht="11.1" customHeight="1">
      <c r="B134" s="20"/>
      <c r="C134" s="20"/>
      <c r="D134" s="20"/>
      <c r="E134" s="20"/>
      <c r="F134" s="20"/>
      <c r="G134" s="20"/>
      <c r="H134" s="20"/>
      <c r="I134" s="20"/>
      <c r="J134" s="20"/>
      <c r="K134" s="20"/>
    </row>
    <row r="135" spans="2:11" ht="11.1" customHeight="1">
      <c r="B135" s="20"/>
      <c r="C135" s="20"/>
      <c r="D135" s="20"/>
      <c r="E135" s="20"/>
      <c r="F135" s="20"/>
      <c r="G135" s="20"/>
      <c r="H135" s="20"/>
      <c r="I135" s="20"/>
      <c r="J135" s="20"/>
      <c r="K135" s="20"/>
    </row>
    <row r="136" spans="2:11" ht="11.1" customHeight="1">
      <c r="B136" s="20"/>
      <c r="C136" s="20"/>
      <c r="D136" s="20"/>
      <c r="E136" s="20"/>
      <c r="F136" s="20"/>
      <c r="G136" s="20"/>
      <c r="H136" s="20"/>
      <c r="I136" s="20"/>
      <c r="J136" s="20"/>
      <c r="K136" s="20"/>
    </row>
    <row r="137" spans="2:11" ht="11.1" customHeight="1">
      <c r="B137" s="20"/>
      <c r="C137" s="20"/>
      <c r="D137" s="20"/>
      <c r="E137" s="20"/>
      <c r="F137" s="20"/>
      <c r="G137" s="20"/>
      <c r="H137" s="20"/>
      <c r="I137" s="20"/>
      <c r="J137" s="20"/>
      <c r="K137" s="20"/>
    </row>
    <row r="138" spans="2:11" ht="11.1" customHeight="1">
      <c r="B138" s="20"/>
      <c r="C138" s="20"/>
      <c r="D138" s="20"/>
      <c r="E138" s="20"/>
      <c r="F138" s="20"/>
      <c r="G138" s="20"/>
      <c r="H138" s="20"/>
      <c r="I138" s="20"/>
      <c r="J138" s="20"/>
      <c r="K138" s="20"/>
    </row>
    <row r="139" spans="2:11" ht="11.1" customHeight="1">
      <c r="B139" s="20"/>
      <c r="C139" s="20"/>
      <c r="D139" s="20"/>
      <c r="E139" s="20"/>
      <c r="F139" s="20"/>
      <c r="G139" s="20"/>
      <c r="H139" s="20"/>
      <c r="I139" s="20"/>
      <c r="J139" s="20"/>
      <c r="K139" s="20"/>
    </row>
    <row r="140" spans="2:11" ht="11.1" customHeight="1">
      <c r="B140" s="20"/>
      <c r="C140" s="20"/>
      <c r="D140" s="20"/>
      <c r="E140" s="20"/>
      <c r="F140" s="20"/>
      <c r="G140" s="20"/>
      <c r="H140" s="20"/>
      <c r="I140" s="20"/>
      <c r="J140" s="20"/>
      <c r="K140" s="20"/>
    </row>
    <row r="141" spans="2:11" ht="11.1" customHeight="1">
      <c r="B141" s="20"/>
      <c r="C141" s="20"/>
      <c r="D141" s="20"/>
      <c r="E141" s="20"/>
      <c r="F141" s="20"/>
      <c r="G141" s="20"/>
      <c r="H141" s="20"/>
      <c r="I141" s="20"/>
      <c r="J141" s="20"/>
      <c r="K141" s="20"/>
    </row>
    <row r="142" spans="2:11" ht="11.1" customHeight="1">
      <c r="B142" s="20"/>
      <c r="C142" s="20"/>
      <c r="D142" s="20"/>
      <c r="E142" s="20"/>
      <c r="F142" s="20"/>
      <c r="G142" s="20"/>
      <c r="H142" s="20"/>
      <c r="I142" s="20"/>
      <c r="J142" s="20"/>
      <c r="K142" s="20"/>
    </row>
    <row r="143" spans="2:11" ht="11.1" customHeight="1">
      <c r="B143" s="20"/>
      <c r="C143" s="20"/>
      <c r="D143" s="20"/>
      <c r="E143" s="20"/>
      <c r="F143" s="20"/>
      <c r="G143" s="20"/>
      <c r="H143" s="20"/>
      <c r="I143" s="20"/>
      <c r="J143" s="20"/>
      <c r="K143" s="20"/>
    </row>
    <row r="144" spans="2:11" ht="11.1" customHeight="1">
      <c r="B144" s="20"/>
      <c r="C144" s="20"/>
      <c r="D144" s="20"/>
      <c r="E144" s="20"/>
      <c r="F144" s="20"/>
      <c r="G144" s="20"/>
      <c r="H144" s="20"/>
      <c r="I144" s="20"/>
      <c r="J144" s="20"/>
      <c r="K144" s="20"/>
    </row>
    <row r="145" spans="2:11" ht="11.1" customHeight="1">
      <c r="B145" s="20"/>
      <c r="C145" s="20"/>
      <c r="D145" s="20"/>
      <c r="E145" s="20"/>
      <c r="F145" s="20"/>
      <c r="G145" s="20"/>
      <c r="H145" s="20"/>
      <c r="I145" s="20"/>
      <c r="J145" s="20"/>
      <c r="K145" s="20"/>
    </row>
    <row r="146" spans="2:11" ht="11.1" customHeight="1">
      <c r="B146" s="20"/>
      <c r="C146" s="20"/>
      <c r="D146" s="20"/>
      <c r="E146" s="20"/>
      <c r="F146" s="20"/>
      <c r="G146" s="20"/>
      <c r="H146" s="20"/>
      <c r="I146" s="20"/>
      <c r="J146" s="20"/>
      <c r="K146" s="20"/>
    </row>
    <row r="147" spans="2:11" ht="11.1" customHeight="1">
      <c r="B147" s="20"/>
      <c r="C147" s="20"/>
      <c r="D147" s="20"/>
      <c r="E147" s="20"/>
      <c r="F147" s="20"/>
      <c r="G147" s="20"/>
      <c r="H147" s="20"/>
      <c r="I147" s="20"/>
      <c r="J147" s="20"/>
      <c r="K147" s="20"/>
    </row>
    <row r="148" spans="2:11" ht="11.1" customHeight="1">
      <c r="B148" s="20"/>
      <c r="C148" s="20"/>
      <c r="D148" s="20"/>
      <c r="E148" s="20"/>
      <c r="F148" s="20"/>
      <c r="G148" s="20"/>
      <c r="H148" s="20"/>
      <c r="I148" s="20"/>
      <c r="J148" s="20"/>
      <c r="K148" s="20"/>
    </row>
    <row r="149" spans="2:11" ht="11.1" customHeight="1">
      <c r="B149" s="20"/>
      <c r="C149" s="20"/>
      <c r="D149" s="20"/>
      <c r="E149" s="20"/>
      <c r="F149" s="20"/>
      <c r="G149" s="20"/>
      <c r="H149" s="20"/>
      <c r="I149" s="20"/>
      <c r="J149" s="20"/>
      <c r="K149" s="20"/>
    </row>
    <row r="150" spans="2:11" ht="11.1" customHeight="1">
      <c r="B150" s="20"/>
      <c r="C150" s="20"/>
      <c r="D150" s="20"/>
      <c r="E150" s="20"/>
      <c r="F150" s="20"/>
      <c r="G150" s="20"/>
      <c r="H150" s="20"/>
      <c r="I150" s="20"/>
      <c r="J150" s="20"/>
      <c r="K150" s="20"/>
    </row>
    <row r="151" spans="2:11" ht="11.1" customHeight="1">
      <c r="B151" s="20"/>
      <c r="C151" s="20"/>
      <c r="D151" s="20"/>
      <c r="E151" s="20"/>
      <c r="F151" s="20"/>
      <c r="G151" s="20"/>
      <c r="H151" s="20"/>
      <c r="I151" s="20"/>
      <c r="J151" s="20"/>
      <c r="K151" s="20"/>
    </row>
    <row r="152" spans="2:11" ht="11.1" customHeight="1">
      <c r="B152" s="20"/>
      <c r="C152" s="20"/>
      <c r="D152" s="20"/>
      <c r="E152" s="20"/>
      <c r="F152" s="20"/>
      <c r="G152" s="20"/>
      <c r="H152" s="20"/>
      <c r="I152" s="20"/>
      <c r="J152" s="20"/>
      <c r="K152" s="20"/>
    </row>
    <row r="153" spans="2:11" ht="11.1" customHeight="1">
      <c r="B153" s="20"/>
      <c r="C153" s="20"/>
      <c r="D153" s="20"/>
      <c r="E153" s="20"/>
      <c r="F153" s="20"/>
      <c r="G153" s="20"/>
      <c r="H153" s="20"/>
      <c r="I153" s="20"/>
      <c r="J153" s="20"/>
      <c r="K153" s="20"/>
    </row>
    <row r="154" spans="2:11" ht="11.1" customHeight="1">
      <c r="B154" s="20"/>
      <c r="C154" s="20"/>
      <c r="D154" s="20"/>
      <c r="E154" s="20"/>
      <c r="F154" s="20"/>
      <c r="G154" s="20"/>
      <c r="H154" s="20"/>
      <c r="I154" s="20"/>
      <c r="J154" s="20"/>
      <c r="K154" s="20"/>
    </row>
    <row r="155" spans="2:11" ht="11.1" customHeight="1">
      <c r="B155" s="20"/>
      <c r="C155" s="20"/>
      <c r="D155" s="20"/>
      <c r="E155" s="20"/>
      <c r="F155" s="20"/>
      <c r="G155" s="20"/>
      <c r="H155" s="20"/>
      <c r="I155" s="20"/>
      <c r="J155" s="20"/>
      <c r="K155" s="20"/>
    </row>
    <row r="156" spans="2:11" ht="11.1" customHeight="1">
      <c r="B156" s="20"/>
      <c r="C156" s="20"/>
      <c r="D156" s="20"/>
      <c r="E156" s="20"/>
      <c r="F156" s="20"/>
      <c r="G156" s="20"/>
      <c r="H156" s="20"/>
      <c r="I156" s="20"/>
      <c r="J156" s="20"/>
      <c r="K156" s="20"/>
    </row>
    <row r="157" spans="2:11" ht="11.1" customHeight="1">
      <c r="B157" s="20"/>
      <c r="C157" s="20"/>
      <c r="D157" s="20"/>
      <c r="E157" s="20"/>
      <c r="F157" s="20"/>
      <c r="G157" s="20"/>
      <c r="H157" s="20"/>
      <c r="I157" s="20"/>
      <c r="J157" s="20"/>
      <c r="K157" s="20"/>
    </row>
    <row r="158" spans="2:11" ht="11.1" customHeight="1">
      <c r="B158" s="20"/>
      <c r="C158" s="20"/>
      <c r="D158" s="20"/>
      <c r="E158" s="20"/>
      <c r="F158" s="20"/>
      <c r="G158" s="20"/>
      <c r="H158" s="20"/>
      <c r="I158" s="20"/>
      <c r="J158" s="20"/>
      <c r="K158" s="20"/>
    </row>
    <row r="159" spans="2:11" ht="11.1" customHeight="1">
      <c r="B159" s="20"/>
      <c r="C159" s="20"/>
      <c r="D159" s="20"/>
      <c r="E159" s="20"/>
      <c r="F159" s="20"/>
      <c r="G159" s="20"/>
      <c r="H159" s="20"/>
      <c r="I159" s="20"/>
      <c r="J159" s="20"/>
      <c r="K159" s="20"/>
    </row>
    <row r="160" spans="2:11" ht="11.1" customHeight="1">
      <c r="B160" s="20"/>
      <c r="C160" s="20"/>
      <c r="D160" s="20"/>
      <c r="E160" s="20"/>
      <c r="F160" s="20"/>
      <c r="G160" s="20"/>
      <c r="H160" s="20"/>
      <c r="I160" s="20"/>
      <c r="J160" s="20"/>
      <c r="K160" s="20"/>
    </row>
    <row r="161" spans="2:11" ht="11.1" customHeight="1">
      <c r="B161" s="20"/>
      <c r="C161" s="20"/>
      <c r="D161" s="20"/>
      <c r="E161" s="20"/>
      <c r="F161" s="20"/>
      <c r="G161" s="20"/>
      <c r="H161" s="20"/>
      <c r="I161" s="20"/>
      <c r="J161" s="20"/>
      <c r="K161" s="20"/>
    </row>
    <row r="162" spans="2:11" ht="11.1" customHeight="1">
      <c r="B162" s="20"/>
      <c r="C162" s="20"/>
      <c r="D162" s="20"/>
      <c r="E162" s="20"/>
      <c r="F162" s="20"/>
      <c r="G162" s="20"/>
      <c r="H162" s="20"/>
      <c r="I162" s="20"/>
      <c r="J162" s="20"/>
      <c r="K162" s="20"/>
    </row>
    <row r="163" spans="2:11" ht="11.1" customHeight="1">
      <c r="B163" s="20"/>
      <c r="C163" s="20"/>
      <c r="D163" s="20"/>
      <c r="E163" s="20"/>
      <c r="F163" s="20"/>
      <c r="G163" s="20"/>
      <c r="H163" s="20"/>
      <c r="I163" s="20"/>
      <c r="J163" s="20"/>
      <c r="K163" s="20"/>
    </row>
    <row r="164" spans="2:11" ht="11.1" customHeight="1">
      <c r="B164" s="20"/>
      <c r="C164" s="20"/>
      <c r="D164" s="20"/>
      <c r="E164" s="20"/>
      <c r="F164" s="20"/>
      <c r="G164" s="20"/>
      <c r="H164" s="20"/>
      <c r="I164" s="20"/>
      <c r="J164" s="20"/>
      <c r="K164" s="20"/>
    </row>
    <row r="165" spans="2:11" ht="11.1" customHeight="1">
      <c r="B165" s="20"/>
      <c r="C165" s="20"/>
      <c r="D165" s="20"/>
      <c r="E165" s="20"/>
      <c r="F165" s="20"/>
      <c r="G165" s="20"/>
      <c r="H165" s="20"/>
      <c r="I165" s="20"/>
      <c r="J165" s="20"/>
      <c r="K165" s="20"/>
    </row>
    <row r="166" spans="2:11" ht="11.1" customHeight="1">
      <c r="B166" s="20"/>
      <c r="C166" s="20"/>
      <c r="D166" s="20"/>
      <c r="E166" s="20"/>
      <c r="F166" s="20"/>
      <c r="G166" s="20"/>
      <c r="H166" s="20"/>
      <c r="I166" s="20"/>
      <c r="J166" s="20"/>
      <c r="K166" s="20"/>
    </row>
    <row r="167" spans="2:11" ht="11.1" customHeight="1">
      <c r="B167" s="20"/>
      <c r="C167" s="20"/>
      <c r="D167" s="20"/>
      <c r="E167" s="20"/>
      <c r="F167" s="20"/>
      <c r="G167" s="20"/>
      <c r="H167" s="20"/>
      <c r="I167" s="20"/>
      <c r="J167" s="20"/>
      <c r="K167" s="20"/>
    </row>
    <row r="168" spans="2:11" ht="11.1" customHeight="1">
      <c r="B168" s="20"/>
      <c r="C168" s="20"/>
      <c r="D168" s="20"/>
      <c r="E168" s="20"/>
      <c r="F168" s="20"/>
      <c r="G168" s="20"/>
      <c r="H168" s="20"/>
      <c r="I168" s="20"/>
      <c r="J168" s="20"/>
      <c r="K168" s="20"/>
    </row>
    <row r="169" spans="2:11" ht="11.1" customHeight="1">
      <c r="B169" s="20"/>
      <c r="C169" s="20"/>
      <c r="D169" s="20"/>
      <c r="E169" s="20"/>
      <c r="F169" s="20"/>
      <c r="G169" s="20"/>
      <c r="H169" s="20"/>
      <c r="I169" s="20"/>
      <c r="J169" s="20"/>
      <c r="K169" s="20"/>
    </row>
    <row r="170" spans="2:11" ht="11.1" customHeight="1">
      <c r="B170" s="20"/>
      <c r="C170" s="20"/>
      <c r="D170" s="20"/>
      <c r="E170" s="20"/>
      <c r="F170" s="20"/>
      <c r="G170" s="20"/>
      <c r="H170" s="20"/>
      <c r="I170" s="20"/>
      <c r="J170" s="20"/>
      <c r="K170" s="20"/>
    </row>
    <row r="171" spans="2:11" ht="11.1" customHeight="1">
      <c r="B171" s="20"/>
      <c r="C171" s="20"/>
      <c r="D171" s="20"/>
      <c r="E171" s="20"/>
      <c r="F171" s="20"/>
      <c r="G171" s="20"/>
      <c r="H171" s="20"/>
      <c r="I171" s="20"/>
      <c r="J171" s="20"/>
      <c r="K171" s="20"/>
    </row>
    <row r="172" spans="2:11" ht="11.1" customHeight="1">
      <c r="B172" s="20"/>
      <c r="C172" s="20"/>
      <c r="D172" s="20"/>
      <c r="E172" s="20"/>
      <c r="F172" s="20"/>
      <c r="G172" s="20"/>
      <c r="H172" s="20"/>
      <c r="I172" s="20"/>
      <c r="J172" s="20"/>
      <c r="K172" s="20"/>
    </row>
    <row r="173" spans="2:11" ht="11.1" customHeight="1">
      <c r="B173" s="20"/>
      <c r="C173" s="20"/>
      <c r="D173" s="20"/>
      <c r="E173" s="20"/>
      <c r="F173" s="20"/>
      <c r="G173" s="20"/>
      <c r="H173" s="20"/>
      <c r="I173" s="20"/>
      <c r="J173" s="20"/>
      <c r="K173" s="20"/>
    </row>
    <row r="174" spans="2:11" ht="11.1" customHeight="1">
      <c r="B174" s="20"/>
      <c r="C174" s="20"/>
      <c r="D174" s="20"/>
      <c r="E174" s="20"/>
      <c r="F174" s="20"/>
      <c r="G174" s="20"/>
      <c r="H174" s="20"/>
      <c r="I174" s="20"/>
      <c r="J174" s="20"/>
      <c r="K174" s="20"/>
    </row>
    <row r="175" spans="2:11" ht="11.1" customHeight="1">
      <c r="B175" s="20"/>
      <c r="C175" s="20"/>
      <c r="D175" s="20"/>
      <c r="E175" s="20"/>
      <c r="F175" s="20"/>
      <c r="G175" s="20"/>
      <c r="H175" s="20"/>
      <c r="I175" s="20"/>
      <c r="J175" s="20"/>
      <c r="K175" s="20"/>
    </row>
    <row r="176" spans="2:11" ht="11.1" customHeight="1">
      <c r="B176" s="20"/>
      <c r="C176" s="20"/>
      <c r="D176" s="20"/>
      <c r="E176" s="20"/>
      <c r="F176" s="20"/>
      <c r="G176" s="20"/>
      <c r="H176" s="20"/>
      <c r="I176" s="20"/>
      <c r="J176" s="20"/>
      <c r="K176" s="20"/>
    </row>
    <row r="177" spans="2:11" ht="11.1" customHeight="1">
      <c r="B177" s="20"/>
      <c r="C177" s="20"/>
      <c r="D177" s="20"/>
      <c r="E177" s="20"/>
      <c r="F177" s="20"/>
      <c r="G177" s="20"/>
      <c r="H177" s="20"/>
      <c r="I177" s="20"/>
      <c r="J177" s="20"/>
      <c r="K177" s="20"/>
    </row>
    <row r="178" spans="2:11" ht="11.1" customHeight="1">
      <c r="B178" s="20"/>
      <c r="C178" s="20"/>
      <c r="D178" s="20"/>
      <c r="E178" s="20"/>
      <c r="F178" s="20"/>
      <c r="G178" s="20"/>
      <c r="H178" s="20"/>
      <c r="I178" s="20"/>
      <c r="J178" s="20"/>
      <c r="K178" s="20"/>
    </row>
    <row r="179" spans="2:11" ht="11.1" customHeight="1">
      <c r="B179" s="20"/>
      <c r="C179" s="20"/>
      <c r="D179" s="20"/>
      <c r="E179" s="20"/>
      <c r="F179" s="20"/>
      <c r="G179" s="20"/>
      <c r="H179" s="20"/>
      <c r="I179" s="20"/>
      <c r="J179" s="20"/>
      <c r="K179" s="20"/>
    </row>
    <row r="180" spans="2:11" ht="11.1" customHeight="1">
      <c r="B180" s="20"/>
      <c r="C180" s="20"/>
      <c r="D180" s="20"/>
      <c r="E180" s="20"/>
      <c r="F180" s="20"/>
      <c r="G180" s="20"/>
      <c r="H180" s="20"/>
      <c r="I180" s="20"/>
      <c r="J180" s="20"/>
      <c r="K180" s="20"/>
    </row>
    <row r="181" spans="2:11" ht="11.1" customHeight="1">
      <c r="B181" s="20"/>
      <c r="C181" s="20"/>
      <c r="D181" s="20"/>
      <c r="E181" s="20"/>
      <c r="F181" s="20"/>
      <c r="G181" s="20"/>
      <c r="H181" s="20"/>
      <c r="I181" s="20"/>
      <c r="J181" s="20"/>
      <c r="K181" s="20"/>
    </row>
    <row r="182" spans="2:11" ht="11.1" customHeight="1">
      <c r="B182" s="20"/>
      <c r="C182" s="20"/>
      <c r="D182" s="20"/>
      <c r="E182" s="20"/>
      <c r="F182" s="20"/>
      <c r="G182" s="20"/>
      <c r="H182" s="20"/>
      <c r="I182" s="20"/>
      <c r="J182" s="20"/>
      <c r="K182" s="20"/>
    </row>
    <row r="183" spans="2:11" ht="11.1" customHeight="1">
      <c r="B183" s="20"/>
      <c r="C183" s="20"/>
      <c r="D183" s="20"/>
      <c r="E183" s="20"/>
      <c r="F183" s="20"/>
      <c r="G183" s="20"/>
      <c r="H183" s="20"/>
      <c r="I183" s="20"/>
      <c r="J183" s="20"/>
      <c r="K183" s="20"/>
    </row>
    <row r="184" spans="2:11" ht="11.1" customHeight="1">
      <c r="B184" s="20"/>
      <c r="C184" s="20"/>
      <c r="D184" s="20"/>
      <c r="E184" s="20"/>
      <c r="F184" s="20"/>
      <c r="G184" s="20"/>
      <c r="H184" s="20"/>
      <c r="I184" s="20"/>
      <c r="J184" s="20"/>
      <c r="K184" s="20"/>
    </row>
    <row r="185" spans="2:11" ht="11.1" customHeight="1">
      <c r="B185" s="20"/>
      <c r="C185" s="20"/>
      <c r="D185" s="20"/>
      <c r="E185" s="20"/>
      <c r="F185" s="20"/>
      <c r="G185" s="20"/>
      <c r="H185" s="20"/>
      <c r="I185" s="20"/>
      <c r="J185" s="20"/>
      <c r="K185" s="20"/>
    </row>
    <row r="186" spans="2:11" ht="11.1" customHeight="1">
      <c r="B186" s="20"/>
      <c r="C186" s="20"/>
      <c r="D186" s="20"/>
      <c r="E186" s="20"/>
      <c r="F186" s="20"/>
      <c r="G186" s="20"/>
      <c r="H186" s="20"/>
      <c r="I186" s="20"/>
      <c r="J186" s="20"/>
      <c r="K186" s="20"/>
    </row>
    <row r="187" spans="2:11" ht="11.1" customHeight="1">
      <c r="B187" s="20"/>
      <c r="C187" s="20"/>
      <c r="D187" s="20"/>
      <c r="E187" s="20"/>
      <c r="F187" s="20"/>
      <c r="G187" s="20"/>
      <c r="H187" s="20"/>
      <c r="I187" s="20"/>
      <c r="J187" s="20"/>
      <c r="K187" s="20"/>
    </row>
    <row r="188" spans="2:11" ht="11.1" customHeight="1">
      <c r="B188" s="20"/>
      <c r="C188" s="20"/>
      <c r="D188" s="20"/>
      <c r="E188" s="20"/>
      <c r="F188" s="20"/>
      <c r="G188" s="20"/>
      <c r="H188" s="20"/>
      <c r="I188" s="20"/>
      <c r="J188" s="20"/>
      <c r="K188" s="20"/>
    </row>
    <row r="189" spans="2:11" ht="11.1" customHeight="1">
      <c r="B189" s="20"/>
      <c r="C189" s="20"/>
      <c r="D189" s="20"/>
      <c r="E189" s="20"/>
      <c r="F189" s="20"/>
      <c r="G189" s="20"/>
      <c r="H189" s="20"/>
      <c r="I189" s="20"/>
      <c r="J189" s="20"/>
      <c r="K189" s="20"/>
    </row>
    <row r="190" spans="2:11" ht="11.1" customHeight="1">
      <c r="B190" s="20"/>
      <c r="C190" s="20"/>
      <c r="D190" s="20"/>
      <c r="E190" s="20"/>
      <c r="F190" s="20"/>
      <c r="G190" s="20"/>
      <c r="H190" s="20"/>
      <c r="I190" s="20"/>
      <c r="J190" s="20"/>
      <c r="K190" s="20"/>
    </row>
    <row r="191" spans="2:11" ht="11.1" customHeight="1">
      <c r="B191" s="20"/>
      <c r="C191" s="20"/>
      <c r="D191" s="20"/>
      <c r="E191" s="20"/>
      <c r="F191" s="20"/>
      <c r="G191" s="20"/>
      <c r="H191" s="20"/>
      <c r="I191" s="20"/>
      <c r="J191" s="20"/>
      <c r="K191" s="20"/>
    </row>
    <row r="192" spans="2:11" ht="11.1" customHeight="1">
      <c r="B192" s="20"/>
      <c r="C192" s="20"/>
      <c r="D192" s="20"/>
      <c r="E192" s="20"/>
      <c r="F192" s="20"/>
      <c r="G192" s="20"/>
      <c r="H192" s="20"/>
      <c r="I192" s="20"/>
      <c r="J192" s="20"/>
      <c r="K192" s="20"/>
    </row>
    <row r="193" spans="2:11" ht="11.1" customHeight="1">
      <c r="B193" s="20"/>
      <c r="C193" s="20"/>
      <c r="D193" s="20"/>
      <c r="E193" s="20"/>
      <c r="F193" s="20"/>
      <c r="G193" s="20"/>
      <c r="H193" s="20"/>
      <c r="I193" s="20"/>
      <c r="J193" s="20"/>
      <c r="K193" s="20"/>
    </row>
    <row r="194" spans="2:11" ht="11.1" customHeight="1">
      <c r="B194" s="20"/>
      <c r="C194" s="20"/>
      <c r="D194" s="20"/>
      <c r="E194" s="20"/>
      <c r="F194" s="20"/>
      <c r="G194" s="20"/>
      <c r="H194" s="20"/>
      <c r="I194" s="20"/>
      <c r="J194" s="20"/>
      <c r="K194" s="20"/>
    </row>
    <row r="195" spans="2:11" ht="11.1" customHeight="1">
      <c r="B195" s="20"/>
      <c r="C195" s="20"/>
      <c r="D195" s="20"/>
      <c r="E195" s="20"/>
      <c r="F195" s="20"/>
      <c r="G195" s="20"/>
      <c r="H195" s="20"/>
      <c r="I195" s="20"/>
      <c r="J195" s="20"/>
      <c r="K195" s="20"/>
    </row>
    <row r="196" spans="2:11" ht="11.1" customHeight="1">
      <c r="B196" s="20"/>
      <c r="C196" s="20"/>
      <c r="D196" s="20"/>
      <c r="E196" s="20"/>
      <c r="F196" s="20"/>
      <c r="G196" s="20"/>
      <c r="H196" s="20"/>
      <c r="I196" s="20"/>
      <c r="J196" s="20"/>
      <c r="K196" s="20"/>
    </row>
    <row r="197" spans="2:11" ht="11.1" customHeight="1">
      <c r="B197" s="20"/>
      <c r="C197" s="20"/>
      <c r="D197" s="20"/>
      <c r="E197" s="20"/>
      <c r="F197" s="20"/>
      <c r="G197" s="20"/>
      <c r="H197" s="20"/>
      <c r="I197" s="20"/>
      <c r="J197" s="20"/>
      <c r="K197" s="20"/>
    </row>
    <row r="198" spans="2:11" ht="11.1" customHeight="1">
      <c r="B198" s="20"/>
      <c r="C198" s="20"/>
      <c r="D198" s="20"/>
      <c r="E198" s="20"/>
      <c r="F198" s="20"/>
      <c r="G198" s="20"/>
      <c r="H198" s="20"/>
      <c r="I198" s="20"/>
      <c r="J198" s="20"/>
      <c r="K198" s="20"/>
    </row>
    <row r="199" spans="2:11" ht="11.1" customHeight="1">
      <c r="B199" s="20"/>
      <c r="C199" s="20"/>
      <c r="D199" s="20"/>
      <c r="E199" s="20"/>
      <c r="F199" s="20"/>
      <c r="G199" s="20"/>
      <c r="H199" s="20"/>
      <c r="I199" s="20"/>
      <c r="J199" s="20"/>
      <c r="K199" s="20"/>
    </row>
    <row r="200" spans="2:11" ht="11.1" customHeight="1">
      <c r="B200" s="20"/>
      <c r="C200" s="20"/>
      <c r="D200" s="20"/>
      <c r="E200" s="20"/>
      <c r="F200" s="20"/>
      <c r="G200" s="20"/>
      <c r="H200" s="20"/>
      <c r="I200" s="20"/>
      <c r="J200" s="20"/>
      <c r="K200" s="20"/>
    </row>
    <row r="201" spans="2:11" ht="11.1" customHeight="1">
      <c r="B201" s="20"/>
      <c r="C201" s="20"/>
      <c r="D201" s="20"/>
      <c r="E201" s="20"/>
      <c r="F201" s="20"/>
      <c r="G201" s="20"/>
      <c r="H201" s="20"/>
      <c r="I201" s="20"/>
      <c r="J201" s="20"/>
      <c r="K201" s="20"/>
    </row>
    <row r="202" spans="2:11" ht="11.1" customHeight="1">
      <c r="B202" s="20"/>
      <c r="C202" s="20"/>
      <c r="D202" s="20"/>
      <c r="E202" s="20"/>
      <c r="F202" s="20"/>
      <c r="G202" s="20"/>
      <c r="H202" s="20"/>
      <c r="I202" s="20"/>
      <c r="J202" s="20"/>
      <c r="K202" s="20"/>
    </row>
    <row r="203" spans="2:11" ht="11.1" customHeight="1">
      <c r="B203" s="20"/>
      <c r="C203" s="20"/>
      <c r="D203" s="20"/>
      <c r="E203" s="20"/>
      <c r="F203" s="20"/>
      <c r="G203" s="20"/>
      <c r="H203" s="20"/>
      <c r="I203" s="20"/>
      <c r="J203" s="20"/>
      <c r="K203" s="20"/>
    </row>
    <row r="204" spans="2:11" ht="11.1" customHeight="1">
      <c r="B204" s="20"/>
      <c r="C204" s="20"/>
      <c r="D204" s="20"/>
      <c r="E204" s="20"/>
      <c r="F204" s="20"/>
      <c r="G204" s="20"/>
      <c r="H204" s="20"/>
      <c r="I204" s="20"/>
      <c r="J204" s="20"/>
      <c r="K204" s="20"/>
    </row>
    <row r="205" spans="2:11" ht="11.1" customHeight="1">
      <c r="B205" s="20"/>
      <c r="C205" s="20"/>
      <c r="D205" s="20"/>
      <c r="E205" s="20"/>
      <c r="F205" s="20"/>
      <c r="G205" s="20"/>
      <c r="H205" s="20"/>
      <c r="I205" s="20"/>
      <c r="J205" s="20"/>
      <c r="K205" s="20"/>
    </row>
    <row r="206" spans="2:11" ht="11.1" customHeight="1">
      <c r="B206" s="20"/>
      <c r="C206" s="20"/>
      <c r="D206" s="20"/>
      <c r="E206" s="20"/>
      <c r="F206" s="20"/>
      <c r="G206" s="20"/>
      <c r="H206" s="20"/>
      <c r="I206" s="20"/>
      <c r="J206" s="20"/>
      <c r="K206" s="20"/>
    </row>
    <row r="207" spans="2:11" ht="11.1" customHeight="1">
      <c r="B207" s="20"/>
      <c r="C207" s="20"/>
      <c r="D207" s="20"/>
      <c r="E207" s="20"/>
      <c r="F207" s="20"/>
      <c r="G207" s="20"/>
      <c r="H207" s="20"/>
      <c r="I207" s="20"/>
      <c r="J207" s="20"/>
      <c r="K207" s="20"/>
    </row>
    <row r="208" spans="2:11" ht="11.1" customHeight="1">
      <c r="B208" s="20"/>
      <c r="C208" s="20"/>
      <c r="D208" s="20"/>
      <c r="E208" s="20"/>
      <c r="F208" s="20"/>
      <c r="G208" s="20"/>
      <c r="H208" s="20"/>
      <c r="I208" s="20"/>
      <c r="J208" s="20"/>
      <c r="K208" s="20"/>
    </row>
    <row r="209" spans="2:11" ht="11.1" customHeight="1">
      <c r="B209" s="20"/>
      <c r="C209" s="20"/>
      <c r="D209" s="20"/>
      <c r="E209" s="20"/>
      <c r="F209" s="20"/>
      <c r="G209" s="20"/>
      <c r="H209" s="20"/>
      <c r="I209" s="20"/>
      <c r="J209" s="20"/>
      <c r="K209" s="20"/>
    </row>
    <row r="210" spans="2:11" ht="11.1" customHeight="1">
      <c r="B210" s="20"/>
      <c r="C210" s="20"/>
      <c r="D210" s="20"/>
      <c r="E210" s="20"/>
      <c r="F210" s="20"/>
      <c r="G210" s="20"/>
      <c r="H210" s="20"/>
      <c r="I210" s="20"/>
      <c r="J210" s="20"/>
      <c r="K210" s="20"/>
    </row>
    <row r="211" spans="2:11" ht="11.1" customHeight="1">
      <c r="B211" s="20"/>
      <c r="C211" s="20"/>
      <c r="D211" s="20"/>
      <c r="E211" s="20"/>
      <c r="F211" s="20"/>
      <c r="G211" s="20"/>
      <c r="H211" s="20"/>
      <c r="I211" s="20"/>
      <c r="J211" s="20"/>
      <c r="K211" s="20"/>
    </row>
    <row r="212" spans="2:11" ht="11.1" customHeight="1">
      <c r="B212" s="20"/>
      <c r="C212" s="20"/>
      <c r="D212" s="20"/>
      <c r="E212" s="20"/>
      <c r="F212" s="20"/>
      <c r="G212" s="20"/>
      <c r="H212" s="20"/>
      <c r="I212" s="20"/>
      <c r="J212" s="20"/>
      <c r="K212" s="20"/>
    </row>
    <row r="213" spans="2:11" ht="11.1" customHeight="1">
      <c r="B213" s="20"/>
      <c r="C213" s="20"/>
      <c r="D213" s="20"/>
      <c r="E213" s="20"/>
      <c r="F213" s="20"/>
      <c r="G213" s="20"/>
      <c r="H213" s="20"/>
      <c r="I213" s="20"/>
      <c r="J213" s="20"/>
      <c r="K213" s="20"/>
    </row>
    <row r="214" spans="2:11" ht="11.1" customHeight="1">
      <c r="B214" s="20"/>
      <c r="C214" s="20"/>
      <c r="D214" s="20"/>
      <c r="E214" s="20"/>
      <c r="F214" s="20"/>
      <c r="G214" s="20"/>
      <c r="H214" s="20"/>
      <c r="I214" s="20"/>
      <c r="J214" s="20"/>
      <c r="K214" s="20"/>
    </row>
    <row r="215" spans="2:11" ht="11.1" customHeight="1">
      <c r="B215" s="20"/>
      <c r="C215" s="20"/>
      <c r="D215" s="20"/>
      <c r="E215" s="20"/>
      <c r="F215" s="20"/>
      <c r="G215" s="20"/>
      <c r="H215" s="20"/>
      <c r="I215" s="20"/>
      <c r="J215" s="20"/>
      <c r="K215" s="20"/>
    </row>
    <row r="216" spans="2:11" ht="11.1" customHeight="1">
      <c r="B216" s="20"/>
      <c r="C216" s="20"/>
      <c r="D216" s="20"/>
      <c r="E216" s="20"/>
      <c r="F216" s="20"/>
      <c r="G216" s="20"/>
      <c r="H216" s="20"/>
      <c r="I216" s="20"/>
      <c r="J216" s="20"/>
      <c r="K216" s="20"/>
    </row>
    <row r="217" spans="2:11" ht="11.1" customHeight="1">
      <c r="B217" s="20"/>
      <c r="C217" s="20"/>
      <c r="D217" s="20"/>
      <c r="E217" s="20"/>
      <c r="F217" s="20"/>
      <c r="G217" s="20"/>
      <c r="H217" s="20"/>
      <c r="I217" s="20"/>
      <c r="J217" s="20"/>
      <c r="K217" s="20"/>
    </row>
    <row r="218" spans="2:11" ht="11.1" customHeight="1">
      <c r="B218" s="20"/>
      <c r="C218" s="20"/>
      <c r="D218" s="20"/>
      <c r="E218" s="20"/>
      <c r="F218" s="20"/>
      <c r="G218" s="20"/>
      <c r="H218" s="20"/>
      <c r="I218" s="20"/>
      <c r="J218" s="20"/>
      <c r="K218" s="20"/>
    </row>
    <row r="219" spans="2:11" ht="11.1" customHeight="1">
      <c r="B219" s="20"/>
      <c r="C219" s="20"/>
      <c r="D219" s="20"/>
      <c r="E219" s="20"/>
      <c r="F219" s="20"/>
      <c r="G219" s="20"/>
      <c r="H219" s="20"/>
      <c r="I219" s="20"/>
      <c r="J219" s="20"/>
      <c r="K219" s="20"/>
    </row>
    <row r="220" spans="2:11" ht="11.1" customHeight="1">
      <c r="B220" s="20"/>
      <c r="C220" s="20"/>
      <c r="D220" s="20"/>
      <c r="E220" s="20"/>
      <c r="F220" s="20"/>
      <c r="G220" s="20"/>
      <c r="H220" s="20"/>
      <c r="I220" s="20"/>
      <c r="J220" s="20"/>
      <c r="K220" s="20"/>
    </row>
    <row r="221" spans="2:11" ht="11.1" customHeight="1">
      <c r="B221" s="20"/>
      <c r="C221" s="20"/>
      <c r="D221" s="20"/>
      <c r="E221" s="20"/>
      <c r="F221" s="20"/>
      <c r="G221" s="20"/>
      <c r="H221" s="20"/>
      <c r="I221" s="20"/>
      <c r="J221" s="20"/>
      <c r="K221" s="20"/>
    </row>
    <row r="222" spans="2:11" ht="11.1" customHeight="1">
      <c r="B222" s="20"/>
      <c r="C222" s="20"/>
      <c r="D222" s="20"/>
      <c r="E222" s="20"/>
      <c r="F222" s="20"/>
      <c r="G222" s="20"/>
      <c r="H222" s="20"/>
      <c r="I222" s="20"/>
      <c r="J222" s="20"/>
      <c r="K222" s="20"/>
    </row>
    <row r="223" spans="2:11" ht="11.1" customHeight="1">
      <c r="B223" s="20"/>
      <c r="C223" s="20"/>
      <c r="D223" s="20"/>
      <c r="E223" s="20"/>
      <c r="F223" s="20"/>
      <c r="G223" s="20"/>
      <c r="H223" s="20"/>
      <c r="I223" s="20"/>
      <c r="J223" s="20"/>
      <c r="K223" s="20"/>
    </row>
    <row r="224" spans="2:11" ht="11.1" customHeight="1">
      <c r="B224" s="20"/>
      <c r="C224" s="20"/>
      <c r="D224" s="20"/>
      <c r="E224" s="20"/>
      <c r="F224" s="20"/>
      <c r="G224" s="20"/>
      <c r="H224" s="20"/>
      <c r="I224" s="20"/>
      <c r="J224" s="20"/>
      <c r="K224" s="20"/>
    </row>
    <row r="225" spans="2:11" ht="11.1" customHeight="1">
      <c r="B225" s="20"/>
      <c r="C225" s="20"/>
      <c r="D225" s="20"/>
      <c r="E225" s="20"/>
      <c r="F225" s="20"/>
      <c r="G225" s="20"/>
      <c r="H225" s="20"/>
      <c r="I225" s="20"/>
      <c r="J225" s="20"/>
      <c r="K225" s="20"/>
    </row>
    <row r="226" spans="2:11" ht="11.1" customHeight="1">
      <c r="B226" s="20"/>
      <c r="C226" s="20"/>
      <c r="D226" s="20"/>
      <c r="E226" s="20"/>
      <c r="F226" s="20"/>
      <c r="G226" s="20"/>
      <c r="H226" s="20"/>
      <c r="I226" s="20"/>
      <c r="J226" s="20"/>
      <c r="K226" s="20"/>
    </row>
    <row r="227" spans="2:11" ht="11.1" customHeight="1">
      <c r="B227" s="20"/>
      <c r="C227" s="20"/>
      <c r="D227" s="20"/>
      <c r="E227" s="20"/>
      <c r="F227" s="20"/>
      <c r="G227" s="20"/>
      <c r="H227" s="20"/>
      <c r="I227" s="20"/>
      <c r="J227" s="20"/>
      <c r="K227" s="20"/>
    </row>
    <row r="228" spans="2:11" ht="11.1" customHeight="1">
      <c r="B228" s="20"/>
      <c r="C228" s="20"/>
      <c r="D228" s="20"/>
      <c r="E228" s="20"/>
      <c r="F228" s="20"/>
      <c r="G228" s="20"/>
      <c r="H228" s="20"/>
      <c r="I228" s="20"/>
      <c r="J228" s="20"/>
      <c r="K228" s="20"/>
    </row>
    <row r="229" spans="2:11" ht="11.1" customHeight="1">
      <c r="B229" s="20"/>
      <c r="C229" s="20"/>
      <c r="D229" s="20"/>
      <c r="E229" s="20"/>
      <c r="F229" s="20"/>
      <c r="G229" s="20"/>
      <c r="H229" s="20"/>
      <c r="I229" s="20"/>
      <c r="J229" s="20"/>
      <c r="K229" s="20"/>
    </row>
    <row r="230" spans="2:11" ht="11.1" customHeight="1">
      <c r="B230" s="20"/>
      <c r="C230" s="20"/>
      <c r="D230" s="20"/>
      <c r="E230" s="20"/>
      <c r="F230" s="20"/>
      <c r="G230" s="20"/>
      <c r="H230" s="20"/>
      <c r="I230" s="20"/>
      <c r="J230" s="20"/>
      <c r="K230" s="20"/>
    </row>
    <row r="231" spans="2:11" ht="11.1" customHeight="1">
      <c r="B231" s="20"/>
      <c r="C231" s="20"/>
      <c r="D231" s="20"/>
      <c r="E231" s="20"/>
      <c r="F231" s="20"/>
      <c r="G231" s="20"/>
      <c r="H231" s="20"/>
      <c r="I231" s="20"/>
      <c r="J231" s="20"/>
      <c r="K231" s="20"/>
    </row>
    <row r="232" spans="2:11" ht="11.1" customHeight="1">
      <c r="B232" s="20"/>
      <c r="C232" s="20"/>
      <c r="D232" s="20"/>
      <c r="E232" s="20"/>
      <c r="F232" s="20"/>
      <c r="G232" s="20"/>
      <c r="H232" s="20"/>
      <c r="I232" s="20"/>
      <c r="J232" s="20"/>
      <c r="K232" s="20"/>
    </row>
    <row r="233" spans="2:11" ht="11.1" customHeight="1">
      <c r="B233" s="20"/>
      <c r="C233" s="20"/>
      <c r="D233" s="20"/>
      <c r="E233" s="20"/>
      <c r="F233" s="20"/>
      <c r="G233" s="20"/>
      <c r="H233" s="20"/>
      <c r="I233" s="20"/>
      <c r="J233" s="20"/>
      <c r="K233" s="20"/>
    </row>
    <row r="234" spans="2:11" ht="11.1" customHeight="1">
      <c r="B234" s="20"/>
      <c r="C234" s="20"/>
      <c r="D234" s="20"/>
      <c r="E234" s="20"/>
      <c r="F234" s="20"/>
      <c r="G234" s="20"/>
      <c r="H234" s="20"/>
      <c r="I234" s="20"/>
      <c r="J234" s="20"/>
      <c r="K234" s="20"/>
    </row>
    <row r="235" spans="2:11" ht="11.1" customHeight="1">
      <c r="B235" s="20"/>
      <c r="C235" s="20"/>
      <c r="D235" s="20"/>
      <c r="E235" s="20"/>
      <c r="F235" s="20"/>
      <c r="G235" s="20"/>
      <c r="H235" s="20"/>
      <c r="I235" s="20"/>
      <c r="J235" s="20"/>
      <c r="K235" s="20"/>
    </row>
    <row r="236" spans="2:11" ht="11.1" customHeight="1">
      <c r="B236" s="20"/>
      <c r="C236" s="20"/>
      <c r="D236" s="20"/>
      <c r="E236" s="20"/>
      <c r="F236" s="20"/>
      <c r="G236" s="20"/>
      <c r="H236" s="20"/>
      <c r="I236" s="20"/>
      <c r="J236" s="20"/>
      <c r="K236" s="20"/>
    </row>
    <row r="237" spans="2:11" ht="11.1" customHeight="1">
      <c r="B237" s="20"/>
      <c r="C237" s="20"/>
      <c r="D237" s="20"/>
      <c r="E237" s="20"/>
      <c r="F237" s="20"/>
      <c r="G237" s="20"/>
      <c r="H237" s="20"/>
      <c r="I237" s="20"/>
      <c r="J237" s="20"/>
      <c r="K237" s="20"/>
    </row>
    <row r="238" spans="2:11" ht="11.1" customHeight="1">
      <c r="B238" s="20"/>
      <c r="C238" s="20"/>
      <c r="D238" s="20"/>
      <c r="E238" s="20"/>
      <c r="F238" s="20"/>
      <c r="G238" s="20"/>
      <c r="H238" s="20"/>
      <c r="I238" s="20"/>
      <c r="J238" s="20"/>
      <c r="K238" s="20"/>
    </row>
    <row r="239" spans="2:11" ht="11.1" customHeight="1">
      <c r="B239" s="20"/>
      <c r="C239" s="20"/>
      <c r="D239" s="20"/>
      <c r="E239" s="20"/>
      <c r="F239" s="20"/>
      <c r="G239" s="20"/>
      <c r="H239" s="20"/>
      <c r="I239" s="20"/>
      <c r="J239" s="20"/>
      <c r="K239" s="20"/>
    </row>
    <row r="240" spans="2:11" ht="11.1" customHeight="1">
      <c r="B240" s="20"/>
      <c r="C240" s="20"/>
      <c r="D240" s="20"/>
      <c r="E240" s="20"/>
      <c r="F240" s="20"/>
      <c r="G240" s="20"/>
      <c r="H240" s="20"/>
      <c r="I240" s="20"/>
      <c r="J240" s="20"/>
      <c r="K240" s="20"/>
    </row>
    <row r="241" spans="2:11" ht="11.1" customHeight="1">
      <c r="B241" s="20"/>
      <c r="C241" s="20"/>
      <c r="D241" s="20"/>
      <c r="E241" s="20"/>
      <c r="F241" s="20"/>
      <c r="G241" s="20"/>
      <c r="H241" s="20"/>
      <c r="I241" s="20"/>
      <c r="J241" s="20"/>
      <c r="K241" s="20"/>
    </row>
    <row r="242" spans="2:11" ht="11.1" customHeight="1">
      <c r="B242" s="20"/>
      <c r="C242" s="20"/>
      <c r="D242" s="20"/>
      <c r="E242" s="20"/>
      <c r="F242" s="20"/>
      <c r="G242" s="20"/>
      <c r="H242" s="20"/>
      <c r="I242" s="20"/>
      <c r="J242" s="20"/>
      <c r="K242" s="20"/>
    </row>
    <row r="243" spans="2:11" ht="11.1" customHeight="1">
      <c r="B243" s="20"/>
      <c r="C243" s="20"/>
      <c r="D243" s="20"/>
      <c r="E243" s="20"/>
      <c r="F243" s="20"/>
      <c r="G243" s="20"/>
      <c r="H243" s="20"/>
      <c r="I243" s="20"/>
      <c r="J243" s="20"/>
      <c r="K243" s="20"/>
    </row>
    <row r="244" spans="2:11" ht="11.1" customHeight="1">
      <c r="B244" s="20"/>
      <c r="C244" s="20"/>
      <c r="D244" s="20"/>
      <c r="E244" s="20"/>
      <c r="F244" s="20"/>
      <c r="G244" s="20"/>
      <c r="H244" s="20"/>
      <c r="I244" s="20"/>
      <c r="J244" s="20"/>
      <c r="K244" s="20"/>
    </row>
    <row r="245" spans="2:11" ht="11.1" customHeight="1">
      <c r="B245" s="20"/>
      <c r="C245" s="20"/>
      <c r="D245" s="20"/>
      <c r="E245" s="20"/>
      <c r="F245" s="20"/>
      <c r="G245" s="20"/>
      <c r="H245" s="20"/>
      <c r="I245" s="20"/>
      <c r="J245" s="20"/>
      <c r="K245" s="20"/>
    </row>
    <row r="246" spans="2:11" ht="11.1" customHeight="1">
      <c r="B246" s="20"/>
      <c r="C246" s="20"/>
      <c r="D246" s="20"/>
      <c r="E246" s="20"/>
      <c r="F246" s="20"/>
      <c r="G246" s="20"/>
      <c r="H246" s="20"/>
      <c r="I246" s="20"/>
      <c r="J246" s="20"/>
      <c r="K246" s="20"/>
    </row>
    <row r="247" spans="2:11" ht="11.1" customHeight="1">
      <c r="B247" s="20"/>
      <c r="C247" s="20"/>
      <c r="D247" s="20"/>
      <c r="E247" s="20"/>
      <c r="F247" s="20"/>
      <c r="G247" s="20"/>
      <c r="H247" s="20"/>
      <c r="I247" s="20"/>
      <c r="J247" s="20"/>
      <c r="K247" s="20"/>
    </row>
    <row r="248" spans="2:11" ht="11.1" customHeight="1">
      <c r="B248" s="20"/>
      <c r="C248" s="20"/>
      <c r="D248" s="20"/>
      <c r="E248" s="20"/>
      <c r="F248" s="20"/>
      <c r="G248" s="20"/>
      <c r="H248" s="20"/>
      <c r="I248" s="20"/>
      <c r="J248" s="20"/>
      <c r="K248" s="20"/>
    </row>
    <row r="249" spans="2:11" ht="11.1" customHeight="1">
      <c r="B249" s="20"/>
      <c r="C249" s="20"/>
      <c r="D249" s="20"/>
      <c r="E249" s="20"/>
      <c r="F249" s="20"/>
      <c r="G249" s="20"/>
      <c r="H249" s="20"/>
      <c r="I249" s="20"/>
      <c r="J249" s="20"/>
      <c r="K249" s="20"/>
    </row>
    <row r="250" spans="2:11" ht="11.1" customHeight="1">
      <c r="B250" s="20"/>
      <c r="C250" s="20"/>
      <c r="D250" s="20"/>
      <c r="E250" s="20"/>
      <c r="F250" s="20"/>
      <c r="G250" s="20"/>
      <c r="H250" s="20"/>
      <c r="I250" s="20"/>
      <c r="J250" s="20"/>
      <c r="K250" s="20"/>
    </row>
    <row r="251" spans="2:11" ht="11.1" customHeight="1">
      <c r="B251" s="20"/>
      <c r="C251" s="20"/>
      <c r="D251" s="20"/>
      <c r="E251" s="20"/>
      <c r="F251" s="20"/>
      <c r="G251" s="20"/>
      <c r="H251" s="20"/>
      <c r="I251" s="20"/>
      <c r="J251" s="20"/>
      <c r="K251" s="20"/>
    </row>
    <row r="252" spans="2:11" ht="11.1" customHeight="1">
      <c r="B252" s="20"/>
      <c r="C252" s="20"/>
      <c r="D252" s="20"/>
      <c r="E252" s="20"/>
      <c r="F252" s="20"/>
      <c r="G252" s="20"/>
      <c r="H252" s="20"/>
      <c r="I252" s="20"/>
      <c r="J252" s="20"/>
      <c r="K252" s="20"/>
    </row>
    <row r="253" spans="2:11" ht="11.1" customHeight="1">
      <c r="B253" s="20"/>
      <c r="C253" s="20"/>
      <c r="D253" s="20"/>
      <c r="E253" s="20"/>
      <c r="F253" s="20"/>
      <c r="G253" s="20"/>
      <c r="H253" s="20"/>
      <c r="I253" s="20"/>
      <c r="J253" s="20"/>
      <c r="K253" s="20"/>
    </row>
    <row r="254" spans="2:11" ht="11.1" customHeight="1">
      <c r="B254" s="20"/>
      <c r="C254" s="20"/>
      <c r="D254" s="20"/>
      <c r="E254" s="20"/>
      <c r="F254" s="20"/>
      <c r="G254" s="20"/>
      <c r="H254" s="20"/>
      <c r="I254" s="20"/>
      <c r="J254" s="20"/>
      <c r="K254" s="20"/>
    </row>
    <row r="255" spans="2:11" ht="11.1" customHeight="1">
      <c r="B255" s="20"/>
      <c r="C255" s="20"/>
      <c r="D255" s="20"/>
      <c r="E255" s="20"/>
      <c r="F255" s="20"/>
      <c r="G255" s="20"/>
      <c r="H255" s="20"/>
      <c r="I255" s="20"/>
      <c r="J255" s="20"/>
      <c r="K255" s="20"/>
    </row>
    <row r="256" spans="2:11" ht="11.1" customHeight="1">
      <c r="B256" s="20"/>
      <c r="C256" s="20"/>
      <c r="D256" s="20"/>
      <c r="E256" s="20"/>
      <c r="F256" s="20"/>
      <c r="G256" s="20"/>
      <c r="H256" s="20"/>
      <c r="I256" s="20"/>
      <c r="J256" s="20"/>
      <c r="K256" s="20"/>
    </row>
    <row r="257" spans="2:11" ht="11.1" customHeight="1">
      <c r="B257" s="20"/>
      <c r="C257" s="20"/>
      <c r="D257" s="20"/>
      <c r="E257" s="20"/>
      <c r="F257" s="20"/>
      <c r="G257" s="20"/>
      <c r="H257" s="20"/>
      <c r="I257" s="20"/>
      <c r="J257" s="20"/>
      <c r="K257" s="20"/>
    </row>
    <row r="258" spans="2:11" ht="11.1" customHeight="1">
      <c r="B258" s="20"/>
      <c r="C258" s="20"/>
      <c r="D258" s="20"/>
      <c r="E258" s="20"/>
      <c r="F258" s="20"/>
      <c r="G258" s="20"/>
      <c r="H258" s="20"/>
      <c r="I258" s="20"/>
      <c r="J258" s="20"/>
      <c r="K258" s="20"/>
    </row>
    <row r="259" spans="2:11" ht="11.1" customHeight="1">
      <c r="B259" s="20"/>
      <c r="C259" s="20"/>
      <c r="D259" s="20"/>
      <c r="E259" s="20"/>
      <c r="F259" s="20"/>
      <c r="G259" s="20"/>
      <c r="H259" s="20"/>
      <c r="I259" s="20"/>
      <c r="J259" s="20"/>
      <c r="K259" s="20"/>
    </row>
    <row r="260" spans="2:11" ht="11.1" customHeight="1">
      <c r="B260" s="20"/>
      <c r="C260" s="20"/>
      <c r="D260" s="20"/>
      <c r="E260" s="20"/>
      <c r="F260" s="20"/>
      <c r="G260" s="20"/>
      <c r="H260" s="20"/>
      <c r="I260" s="20"/>
      <c r="J260" s="20"/>
      <c r="K260" s="20"/>
    </row>
    <row r="261" spans="2:11" ht="11.1" customHeight="1">
      <c r="B261" s="20"/>
      <c r="C261" s="20"/>
      <c r="D261" s="20"/>
      <c r="E261" s="20"/>
      <c r="F261" s="20"/>
      <c r="G261" s="20"/>
      <c r="H261" s="20"/>
      <c r="I261" s="20"/>
      <c r="J261" s="20"/>
      <c r="K261" s="20"/>
    </row>
    <row r="262" spans="2:11" ht="11.1" customHeight="1">
      <c r="B262" s="20"/>
      <c r="C262" s="20"/>
      <c r="D262" s="20"/>
      <c r="E262" s="20"/>
      <c r="F262" s="20"/>
      <c r="G262" s="20"/>
      <c r="H262" s="20"/>
      <c r="I262" s="20"/>
      <c r="J262" s="20"/>
      <c r="K262" s="20"/>
    </row>
    <row r="263" spans="2:11" ht="11.1" customHeight="1">
      <c r="B263" s="20"/>
      <c r="C263" s="20"/>
      <c r="D263" s="20"/>
      <c r="E263" s="20"/>
      <c r="F263" s="20"/>
      <c r="G263" s="20"/>
      <c r="H263" s="20"/>
      <c r="I263" s="20"/>
      <c r="J263" s="20"/>
      <c r="K263" s="20"/>
    </row>
    <row r="264" spans="2:11" ht="11.1" customHeight="1">
      <c r="B264" s="20"/>
      <c r="C264" s="20"/>
      <c r="D264" s="20"/>
      <c r="E264" s="20"/>
      <c r="F264" s="20"/>
      <c r="G264" s="20"/>
      <c r="H264" s="20"/>
      <c r="I264" s="20"/>
      <c r="J264" s="20"/>
      <c r="K264" s="20"/>
    </row>
    <row r="265" spans="2:11" ht="11.1" customHeight="1">
      <c r="B265" s="20"/>
      <c r="C265" s="20"/>
      <c r="D265" s="20"/>
      <c r="E265" s="20"/>
      <c r="F265" s="20"/>
      <c r="G265" s="20"/>
      <c r="H265" s="20"/>
      <c r="I265" s="20"/>
      <c r="J265" s="20"/>
      <c r="K265" s="20"/>
    </row>
    <row r="266" spans="2:11" ht="11.1" customHeight="1">
      <c r="B266" s="20"/>
      <c r="C266" s="20"/>
      <c r="D266" s="20"/>
      <c r="E266" s="20"/>
      <c r="F266" s="20"/>
      <c r="G266" s="20"/>
      <c r="H266" s="20"/>
      <c r="I266" s="20"/>
      <c r="J266" s="20"/>
      <c r="K266" s="20"/>
    </row>
    <row r="267" spans="2:11" ht="11.1" customHeight="1">
      <c r="B267" s="20"/>
      <c r="C267" s="20"/>
      <c r="D267" s="20"/>
      <c r="E267" s="20"/>
      <c r="F267" s="20"/>
      <c r="G267" s="20"/>
      <c r="H267" s="20"/>
      <c r="I267" s="20"/>
      <c r="J267" s="20"/>
      <c r="K267" s="20"/>
    </row>
    <row r="268" spans="2:11" ht="11.1" customHeight="1">
      <c r="B268" s="20"/>
      <c r="C268" s="20"/>
      <c r="D268" s="20"/>
      <c r="E268" s="20"/>
      <c r="F268" s="20"/>
      <c r="G268" s="20"/>
      <c r="H268" s="20"/>
      <c r="I268" s="20"/>
      <c r="J268" s="20"/>
      <c r="K268" s="20"/>
    </row>
    <row r="269" spans="2:11" ht="11.1" customHeight="1">
      <c r="B269" s="20"/>
      <c r="C269" s="20"/>
      <c r="D269" s="20"/>
      <c r="E269" s="20"/>
      <c r="F269" s="20"/>
      <c r="G269" s="20"/>
      <c r="H269" s="20"/>
      <c r="I269" s="20"/>
      <c r="J269" s="20"/>
      <c r="K269" s="20"/>
    </row>
    <row r="270" spans="2:11" ht="11.1" customHeight="1">
      <c r="B270" s="20"/>
      <c r="C270" s="20"/>
      <c r="D270" s="20"/>
      <c r="E270" s="20"/>
      <c r="F270" s="20"/>
      <c r="G270" s="20"/>
      <c r="H270" s="20"/>
      <c r="I270" s="20"/>
      <c r="J270" s="20"/>
      <c r="K270" s="20"/>
    </row>
    <row r="271" spans="2:11" ht="11.1" customHeight="1">
      <c r="B271" s="20"/>
      <c r="C271" s="20"/>
      <c r="D271" s="20"/>
      <c r="E271" s="20"/>
      <c r="F271" s="20"/>
      <c r="G271" s="20"/>
      <c r="H271" s="20"/>
      <c r="I271" s="20"/>
      <c r="J271" s="20"/>
      <c r="K271" s="20"/>
    </row>
    <row r="272" spans="2:11" ht="11.1" customHeight="1">
      <c r="H272" s="20"/>
      <c r="I272" s="20"/>
      <c r="J272" s="20"/>
      <c r="K272" s="20"/>
    </row>
  </sheetData>
  <pageMargins left="0.25" right="0.25" top="0.19" bottom="0.34" header="0.5" footer="0.38"/>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R32"/>
  <sheetViews>
    <sheetView defaultGridColor="0" colorId="22" zoomScale="90" zoomScaleNormal="90" workbookViewId="0">
      <selection activeCell="M28" sqref="M28"/>
    </sheetView>
  </sheetViews>
  <sheetFormatPr defaultColWidth="9.125" defaultRowHeight="15"/>
  <cols>
    <col min="1" max="7" width="12.875" style="12" bestFit="1" customWidth="1"/>
    <col min="8" max="18" width="13.5" style="12" bestFit="1" customWidth="1"/>
    <col min="19" max="16384" width="9.125" style="12"/>
  </cols>
  <sheetData>
    <row r="1" spans="1:18" s="27" customFormat="1">
      <c r="A1" s="25" t="s">
        <v>80</v>
      </c>
      <c r="B1" s="25" t="s">
        <v>81</v>
      </c>
      <c r="C1" s="25" t="s">
        <v>82</v>
      </c>
      <c r="D1" s="25" t="s">
        <v>83</v>
      </c>
      <c r="E1" s="25" t="s">
        <v>84</v>
      </c>
      <c r="F1" s="25" t="s">
        <v>85</v>
      </c>
      <c r="G1" s="25" t="s">
        <v>86</v>
      </c>
      <c r="H1" s="25" t="s">
        <v>87</v>
      </c>
      <c r="I1" s="25" t="s">
        <v>88</v>
      </c>
      <c r="J1" s="25" t="s">
        <v>89</v>
      </c>
      <c r="K1" s="25" t="s">
        <v>101</v>
      </c>
      <c r="L1" s="25" t="s">
        <v>90</v>
      </c>
      <c r="M1" s="25" t="s">
        <v>91</v>
      </c>
      <c r="N1" s="25" t="s">
        <v>102</v>
      </c>
      <c r="O1" s="25" t="s">
        <v>103</v>
      </c>
      <c r="P1" s="25" t="s">
        <v>104</v>
      </c>
      <c r="Q1" s="25" t="s">
        <v>105</v>
      </c>
      <c r="R1" s="26">
        <v>2015</v>
      </c>
    </row>
    <row r="2" spans="1:18">
      <c r="A2" s="29">
        <v>9991081</v>
      </c>
      <c r="B2" s="29">
        <v>10622794</v>
      </c>
      <c r="C2" s="29">
        <v>10116952</v>
      </c>
      <c r="D2" s="29">
        <v>10821819</v>
      </c>
      <c r="E2" s="29">
        <v>11240815</v>
      </c>
      <c r="F2" s="29">
        <v>11425090</v>
      </c>
      <c r="G2" s="29">
        <v>11533235</v>
      </c>
      <c r="H2" s="29">
        <v>11237238</v>
      </c>
      <c r="I2" s="29">
        <v>11213184</v>
      </c>
      <c r="J2" s="29">
        <v>10991496</v>
      </c>
      <c r="K2" s="29">
        <v>11145436</v>
      </c>
      <c r="L2" s="29">
        <v>11602000</v>
      </c>
      <c r="M2" s="29">
        <v>11979290</v>
      </c>
      <c r="N2" s="29">
        <v>11740265</v>
      </c>
      <c r="O2" s="29">
        <v>11234147</v>
      </c>
      <c r="P2" s="29">
        <v>10429316</v>
      </c>
      <c r="Q2" s="29">
        <v>10365372</v>
      </c>
      <c r="R2" s="29">
        <v>9822475</v>
      </c>
    </row>
    <row r="3" spans="1:18">
      <c r="A3" s="28">
        <v>5311411</v>
      </c>
      <c r="B3" s="28">
        <v>5402864</v>
      </c>
      <c r="C3" s="28">
        <v>5457793</v>
      </c>
      <c r="D3" s="28">
        <v>5491464</v>
      </c>
      <c r="E3" s="28">
        <v>5710759</v>
      </c>
      <c r="F3" s="28">
        <v>5890821</v>
      </c>
      <c r="G3" s="28">
        <v>2540889</v>
      </c>
      <c r="H3" s="28">
        <v>2494145</v>
      </c>
      <c r="I3" s="28">
        <v>2453741</v>
      </c>
      <c r="J3" s="28">
        <v>2507728</v>
      </c>
      <c r="K3" s="28">
        <v>2537825</v>
      </c>
      <c r="L3" s="28">
        <v>2475785</v>
      </c>
      <c r="M3" s="28">
        <v>2355803</v>
      </c>
      <c r="N3" s="28">
        <v>2312909</v>
      </c>
      <c r="O3" s="28">
        <v>2262961</v>
      </c>
      <c r="P3" s="28">
        <v>2247747</v>
      </c>
      <c r="Q3" s="28">
        <v>6698800</v>
      </c>
      <c r="R3" s="30">
        <v>6704300</v>
      </c>
    </row>
    <row r="32" spans="4:4" ht="18">
      <c r="D32" s="31" t="s">
        <v>106</v>
      </c>
    </row>
  </sheetData>
  <pageMargins left="0.5" right="0.5" top="0.5" bottom="0.5" header="0.5" footer="0.5"/>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31"/>
  <sheetViews>
    <sheetView workbookViewId="0">
      <selection activeCell="S32" sqref="S32"/>
    </sheetView>
  </sheetViews>
  <sheetFormatPr defaultColWidth="8.875" defaultRowHeight="12.75"/>
  <cols>
    <col min="1" max="16384" width="8.875" style="14"/>
  </cols>
  <sheetData>
    <row r="1" spans="1:2" ht="15">
      <c r="A1" s="14">
        <v>1976</v>
      </c>
      <c r="B1" s="35">
        <v>4.16</v>
      </c>
    </row>
    <row r="5" spans="1:2" ht="15">
      <c r="A5" s="14">
        <v>1980</v>
      </c>
      <c r="B5" s="35">
        <v>4.67</v>
      </c>
    </row>
    <row r="10" spans="1:2" ht="15">
      <c r="A10" s="14">
        <v>1985</v>
      </c>
      <c r="B10" s="35">
        <v>6.39</v>
      </c>
    </row>
    <row r="15" spans="1:2" ht="15">
      <c r="A15" s="14">
        <v>1990</v>
      </c>
      <c r="B15" s="35">
        <v>4.63</v>
      </c>
    </row>
    <row r="20" spans="1:2" ht="15">
      <c r="A20" s="14">
        <v>1995</v>
      </c>
      <c r="B20" s="35">
        <v>5.35</v>
      </c>
    </row>
    <row r="26" spans="1:2" ht="15">
      <c r="A26" s="14">
        <v>2001</v>
      </c>
      <c r="B26" s="35">
        <v>6.46</v>
      </c>
    </row>
    <row r="31" spans="1:2" ht="15">
      <c r="A31" s="14">
        <v>2006</v>
      </c>
      <c r="B31" s="35">
        <v>5.73</v>
      </c>
    </row>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Notes</vt:lpstr>
      <vt:lpstr>Fonts</vt:lpstr>
      <vt:lpstr>Map with scale</vt:lpstr>
      <vt:lpstr>Map</vt:lpstr>
      <vt:lpstr>Table</vt:lpstr>
      <vt:lpstr>Column</vt:lpstr>
      <vt:lpstr>Column Distribution</vt:lpstr>
      <vt:lpstr>Bar horizontal</vt:lpstr>
      <vt:lpstr>Area</vt:lpstr>
      <vt:lpstr>Area and Line</vt:lpstr>
      <vt:lpstr>Area 100%</vt:lpstr>
      <vt:lpstr>Column Stacked</vt:lpstr>
      <vt:lpstr>Line</vt:lpstr>
      <vt:lpstr>Line with markers</vt:lpstr>
      <vt:lpstr>'Column Stacked'!Print_Area</vt:lpstr>
      <vt:lpstr>'Column Stacked'!Print_Titles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Meko</dc:creator>
  <cp:lastModifiedBy>Airi, Nikhita</cp:lastModifiedBy>
  <cp:lastPrinted>2015-06-18T18:51:39Z</cp:lastPrinted>
  <dcterms:created xsi:type="dcterms:W3CDTF">2015-06-17T19:37:55Z</dcterms:created>
  <dcterms:modified xsi:type="dcterms:W3CDTF">2025-09-19T23:35:52Z</dcterms:modified>
</cp:coreProperties>
</file>